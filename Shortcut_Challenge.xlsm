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464711e9dc8cfa85/Desktop/Maryville/"/>
    </mc:Choice>
  </mc:AlternateContent>
  <xr:revisionPtr revIDLastSave="752" documentId="8_{CE158A50-B75E-4FEB-BDC6-F6DD0841FE9B}" xr6:coauthVersionLast="47" xr6:coauthVersionMax="47" xr10:uidLastSave="{50E1ADA0-43DB-4B32-AE83-D15D9FFD69D5}"/>
  <bookViews>
    <workbookView xWindow="-108" yWindow="-108" windowWidth="23256" windowHeight="12456" tabRatio="715" firstSheet="5" activeTab="5" xr2:uid="{00000000-000D-0000-FFFF-FFFF00000000}"/>
  </bookViews>
  <sheets>
    <sheet name="Excel Challenge" sheetId="1" state="hidden" r:id="rId1"/>
    <sheet name="Version" sheetId="10" state="veryHidden" r:id="rId2"/>
    <sheet name="Intro" sheetId="2" state="hidden" r:id="rId3"/>
    <sheet name="key" sheetId="8" state="veryHidden" r:id="rId4"/>
    <sheet name="Challenge 1" sheetId="3" state="hidden" r:id="rId5"/>
    <sheet name="Congratulations!" sheetId="9" r:id="rId6"/>
  </sheets>
  <functionGroups builtInGroupCount="19"/>
  <definedNames>
    <definedName name="ExternalData_1" localSheetId="1">Version!$A$4:$C$15</definedName>
    <definedName name="ExternalData_10" localSheetId="1">Version!$A$4:$C$15</definedName>
    <definedName name="ExternalData_11" localSheetId="1">Version!$A$4:$C$15</definedName>
    <definedName name="ExternalData_12" localSheetId="1">Version!$A$4:$C$15</definedName>
    <definedName name="ExternalData_13" localSheetId="1">Version!$A$4:$C$15</definedName>
    <definedName name="ExternalData_14" localSheetId="1">Version!$A$4:$C$15</definedName>
    <definedName name="ExternalData_15" localSheetId="1">Version!$A$4:$C$15</definedName>
    <definedName name="ExternalData_16" localSheetId="1">Version!$A$4:$C$15</definedName>
    <definedName name="ExternalData_17" localSheetId="1">Version!#REF!</definedName>
    <definedName name="ExternalData_18" localSheetId="1">Version!$A$4:$C$15</definedName>
    <definedName name="ExternalData_19" localSheetId="1">Version!#REF!</definedName>
    <definedName name="ExternalData_2" localSheetId="1">Version!$A$4:$C$15</definedName>
    <definedName name="ExternalData_20" localSheetId="1">Version!#REF!</definedName>
    <definedName name="ExternalData_21" localSheetId="1">Version!#REF!</definedName>
    <definedName name="ExternalData_22" localSheetId="1">Version!$A$4:$C$15</definedName>
    <definedName name="ExternalData_23" localSheetId="1">Version!#REF!</definedName>
    <definedName name="ExternalData_24" localSheetId="1">Version!#REF!</definedName>
    <definedName name="ExternalData_25" localSheetId="1">Version!$A$4:$C$15</definedName>
    <definedName name="ExternalData_26" localSheetId="1">Version!$A$4:$C$15</definedName>
    <definedName name="ExternalData_27" localSheetId="1">Version!$A$4:$C$15</definedName>
    <definedName name="ExternalData_28" localSheetId="1">Version!$A$4:$C$15</definedName>
    <definedName name="ExternalData_29" localSheetId="1">Version!$A$4:$C$15</definedName>
    <definedName name="ExternalData_3" localSheetId="1">Version!$A$4:$C$15</definedName>
    <definedName name="ExternalData_30" localSheetId="1">Version!$A$4:$C$15</definedName>
    <definedName name="ExternalData_31" localSheetId="1">Version!$A$4:$C$15</definedName>
    <definedName name="ExternalData_32" localSheetId="1">Version!$A$4:$C$15</definedName>
    <definedName name="ExternalData_33" localSheetId="1">Version!$A$4:$C$15</definedName>
    <definedName name="ExternalData_34" localSheetId="1">Version!$A$4:$C$15</definedName>
    <definedName name="ExternalData_35" localSheetId="1">Version!$A$4:$C$15</definedName>
    <definedName name="ExternalData_36" localSheetId="1">Version!$A$4:$C$15</definedName>
    <definedName name="ExternalData_37" localSheetId="1">Version!$A$4:$C$15</definedName>
    <definedName name="ExternalData_38" localSheetId="1">Version!$A$4:$C$15</definedName>
    <definedName name="ExternalData_39" localSheetId="1">Version!$A$4:$C$15</definedName>
    <definedName name="ExternalData_4" localSheetId="1">Version!$A$4:$C$15</definedName>
    <definedName name="ExternalData_40" localSheetId="1">Version!$A$4:$C$15</definedName>
    <definedName name="ExternalData_41" localSheetId="1">Version!$A$4:$C$15</definedName>
    <definedName name="ExternalData_42" localSheetId="1">Version!$A$4:$C$15</definedName>
    <definedName name="ExternalData_43" localSheetId="1">Version!$A$4:$C$15</definedName>
    <definedName name="ExternalData_44" localSheetId="1">Version!$A$4:$C$15</definedName>
    <definedName name="ExternalData_45" localSheetId="1">Version!$A$4:$C$15</definedName>
    <definedName name="ExternalData_5" localSheetId="1">Version!$A$4:$C$15</definedName>
    <definedName name="ExternalData_7" localSheetId="1">Version!$A$4:$C$15</definedName>
    <definedName name="ExternalData_8" localSheetId="1">Version!$A$4:$C$15</definedName>
    <definedName name="ExternalData_9" localSheetId="1">Version!$A$4:$C$15</definedName>
    <definedName name="_xlnm.Print_Area" localSheetId="5">'Congratulations!'!$B$2:$L$47</definedName>
    <definedName name="versionTracking" localSheetId="1">Version!#REF!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64" i="3" l="1"/>
  <c r="G64" i="3"/>
  <c r="F64" i="3"/>
  <c r="E64" i="3"/>
  <c r="D64" i="3"/>
  <c r="C64" i="3"/>
  <c r="B64" i="3"/>
  <c r="H63" i="3"/>
  <c r="G63" i="3"/>
  <c r="F63" i="3"/>
  <c r="E63" i="3"/>
  <c r="D63" i="3"/>
  <c r="C63" i="3"/>
  <c r="B63" i="3"/>
  <c r="H62" i="3"/>
  <c r="G62" i="3"/>
  <c r="F62" i="3"/>
  <c r="E62" i="3"/>
  <c r="D62" i="3"/>
  <c r="C62" i="3"/>
  <c r="B62" i="3"/>
  <c r="H61" i="3"/>
  <c r="G61" i="3"/>
  <c r="F61" i="3"/>
  <c r="E61" i="3"/>
  <c r="D61" i="3"/>
  <c r="C61" i="3"/>
  <c r="B61" i="3"/>
  <c r="H60" i="3"/>
  <c r="G60" i="3"/>
  <c r="F60" i="3"/>
  <c r="E60" i="3"/>
  <c r="D60" i="3"/>
  <c r="C60" i="3"/>
  <c r="B60" i="3"/>
  <c r="H59" i="3"/>
  <c r="G59" i="3"/>
  <c r="F59" i="3"/>
  <c r="E59" i="3"/>
  <c r="D59" i="3"/>
  <c r="C59" i="3"/>
  <c r="B59" i="3"/>
  <c r="H58" i="3"/>
  <c r="G58" i="3"/>
  <c r="F58" i="3"/>
  <c r="E58" i="3"/>
  <c r="D58" i="3"/>
  <c r="C58" i="3"/>
  <c r="B58" i="3"/>
  <c r="H57" i="3"/>
  <c r="G57" i="3"/>
  <c r="F57" i="3"/>
  <c r="E57" i="3"/>
  <c r="D57" i="3"/>
  <c r="C57" i="3"/>
  <c r="B57" i="3"/>
  <c r="H56" i="3"/>
  <c r="G56" i="3"/>
  <c r="F56" i="3"/>
  <c r="E56" i="3"/>
  <c r="D56" i="3"/>
  <c r="C56" i="3"/>
  <c r="B56" i="3"/>
  <c r="H55" i="3"/>
  <c r="G55" i="3"/>
  <c r="F55" i="3"/>
  <c r="E55" i="3"/>
  <c r="D55" i="3"/>
  <c r="C55" i="3"/>
  <c r="B55" i="3"/>
  <c r="H41" i="3"/>
  <c r="G42" i="3"/>
  <c r="G43" i="3"/>
  <c r="G48" i="3" s="1"/>
  <c r="G44" i="3"/>
  <c r="G49" i="3" s="1"/>
  <c r="G45" i="3"/>
  <c r="G46" i="3"/>
  <c r="G47" i="3"/>
  <c r="G50" i="3"/>
  <c r="G41" i="3"/>
  <c r="F42" i="3"/>
  <c r="F43" i="3"/>
  <c r="F44" i="3"/>
  <c r="F45" i="3"/>
  <c r="F46" i="3"/>
  <c r="F47" i="3"/>
  <c r="F48" i="3"/>
  <c r="F49" i="3"/>
  <c r="F50" i="3"/>
  <c r="F41" i="3"/>
  <c r="H50" i="3"/>
  <c r="H49" i="3"/>
  <c r="H48" i="3"/>
  <c r="H47" i="3"/>
  <c r="H46" i="3"/>
  <c r="H45" i="3"/>
  <c r="H44" i="3"/>
  <c r="H43" i="3"/>
  <c r="H42" i="3"/>
  <c r="B26" i="8" l="1"/>
  <c r="H36" i="3"/>
  <c r="G36" i="3"/>
  <c r="F36" i="3"/>
  <c r="B32" i="8"/>
  <c r="I12" i="9"/>
  <c r="H16" i="9" l="1"/>
  <c r="B28" i="8"/>
  <c r="B27" i="8"/>
  <c r="B25" i="8"/>
  <c r="B24" i="8"/>
  <c r="B29" i="8" l="1"/>
  <c r="B30" i="8" s="1"/>
  <c r="B36" i="8" l="1"/>
  <c r="B35" i="8"/>
  <c r="B34" i="8"/>
  <c r="B33" i="8"/>
  <c r="I15" i="9" l="1"/>
  <c r="I16" i="9"/>
  <c r="I14" i="9"/>
  <c r="H15" i="9"/>
  <c r="H14" i="9"/>
  <c r="H13" i="9"/>
  <c r="H12" i="9"/>
  <c r="I13" i="9"/>
  <c r="H11" i="9"/>
  <c r="I17" i="9" l="1"/>
  <c r="H17" i="9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E611064-D2FC-4FC9-9224-35D2F73796AF}" name="versionTracking" type="6" refreshedVersion="0" background="1">
    <textPr prompt="0" sourceFile="https://www.cruter.com/versionTracking.txt">
      <textFields>
        <textField/>
      </textFields>
    </textPr>
  </connection>
  <connection id="2" xr16:uid="{00000000-0015-0000-FFFF-FFFF01000000}" name="versionTracking1" type="6" refreshedVersion="0" deleted="1" background="1">
    <textPr prompt="0" sourceFile="C:\Users\Jessica\Desktop\versionTracking.txt">
      <textFields>
        <textField/>
      </textFields>
    </textPr>
  </connection>
  <connection id="3" xr16:uid="{00000000-0015-0000-FFFF-FFFF02000000}" name="versionTracking2" type="6" refreshedVersion="5" deleted="1" background="1">
    <textPr prompt="0" codePage="437" sourceFile="C:\Users\Jessica\Desktop\versionTracking.txt">
      <textFields count="3">
        <textField/>
        <textField/>
        <textField/>
      </textFields>
    </textPr>
  </connection>
  <connection id="4" xr16:uid="{00000000-0015-0000-FFFF-FFFF03000000}" name="versionTracking3" type="6" refreshedVersion="5" deleted="1" background="1">
    <textPr prompt="0" codePage="437" sourceFile="C:\Users\Jessica\Desktop\versionTracking.txt">
      <textFields count="3">
        <textField/>
        <textField/>
        <textField/>
      </textFields>
    </textPr>
  </connection>
  <connection id="5" xr16:uid="{00000000-0015-0000-FFFF-FFFF04000000}" name="versionTracking5" type="6" refreshedVersion="5" deleted="1" background="1">
    <textPr prompt="0" codePage="437" sourceFile="C:\Users\Jessica\Desktop\versionTracking.txt">
      <textFields count="3"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<sst xmlns="http://schemas.openxmlformats.org/spreadsheetml/2006/main" count="152" uniqueCount="115">
  <si>
    <t>Hold up… before I start, what should I expect?</t>
  </si>
  <si>
    <t>What if I don't know how to do something?</t>
  </si>
  <si>
    <t>I've never done something like this before, How does it work?</t>
  </si>
  <si>
    <t>How efficient are you at moving around Excel using keyboard shortcuts?</t>
  </si>
  <si>
    <t>Challenge #1 - Speed Is Everything!</t>
  </si>
  <si>
    <t>Ctrl + Arrows</t>
  </si>
  <si>
    <t>Ctrl + Shift + Arrows</t>
  </si>
  <si>
    <t>Ctrl + Home</t>
  </si>
  <si>
    <t>Ctrl + End</t>
  </si>
  <si>
    <t>F2</t>
  </si>
  <si>
    <t>F4</t>
  </si>
  <si>
    <t>Ctrl + Y / F4</t>
  </si>
  <si>
    <t>Ctrl + B</t>
  </si>
  <si>
    <t>Ctrl + U</t>
  </si>
  <si>
    <t>Ctrl + I</t>
  </si>
  <si>
    <t>Alt + =</t>
  </si>
  <si>
    <t>Type</t>
  </si>
  <si>
    <t>Value</t>
  </si>
  <si>
    <t>Challenge #1 KEY</t>
  </si>
  <si>
    <t>Ctrl + Shift + $</t>
  </si>
  <si>
    <t>Ctrl + Shift + %</t>
  </si>
  <si>
    <t>Ctrl + Shift + !</t>
  </si>
  <si>
    <t>time-in-1</t>
  </si>
  <si>
    <t>time-out-1</t>
  </si>
  <si>
    <t>Ctrl + Click</t>
  </si>
  <si>
    <t>time-in-2a</t>
  </si>
  <si>
    <t>time-out-2a</t>
  </si>
  <si>
    <t>time-in-2b</t>
  </si>
  <si>
    <t>time-out-2b</t>
  </si>
  <si>
    <t>2b Correct?</t>
  </si>
  <si>
    <t>x</t>
  </si>
  <si>
    <t>time-in-2c</t>
  </si>
  <si>
    <t>time-out-2c</t>
  </si>
  <si>
    <t>time-in-2d</t>
  </si>
  <si>
    <t>time-out-2d</t>
  </si>
  <si>
    <t>2d Correct?</t>
  </si>
  <si>
    <t>2c Correct?</t>
  </si>
  <si>
    <t>time-in-2e</t>
  </si>
  <si>
    <t>time-out-2e</t>
  </si>
  <si>
    <t>2e Correct?</t>
  </si>
  <si>
    <t>CONGRATULATIONS!</t>
  </si>
  <si>
    <t>Here's how you did…</t>
  </si>
  <si>
    <t>Challenge Section</t>
  </si>
  <si>
    <t xml:space="preserve">Pretty cool, huh? </t>
  </si>
  <si>
    <t>How do I start?</t>
  </si>
  <si>
    <t>Answers to all your questions…</t>
  </si>
  <si>
    <t>HOW IT WORKS</t>
  </si>
  <si>
    <t>created by</t>
  </si>
  <si>
    <t>Challenge Teaches:</t>
  </si>
  <si>
    <t>Time</t>
  </si>
  <si>
    <t>Correct?</t>
  </si>
  <si>
    <t>c_2b</t>
  </si>
  <si>
    <t>c_2c</t>
  </si>
  <si>
    <t>c_2d</t>
  </si>
  <si>
    <t>c_2e</t>
  </si>
  <si>
    <t>t_1</t>
  </si>
  <si>
    <t>t_2a</t>
  </si>
  <si>
    <t>t_2b</t>
  </si>
  <si>
    <t>t_2c</t>
  </si>
  <si>
    <t>t_2d</t>
  </si>
  <si>
    <t>t_2e</t>
  </si>
  <si>
    <t>c_1</t>
  </si>
  <si>
    <t>c_2a</t>
  </si>
  <si>
    <t>POST VARIABLES</t>
  </si>
  <si>
    <t>Yes</t>
  </si>
  <si>
    <t>uid</t>
  </si>
  <si>
    <t>dateTime</t>
  </si>
  <si>
    <t>c_all</t>
  </si>
  <si>
    <t>t_all</t>
  </si>
  <si>
    <t>Part 2 "Highlight Cells Containing X"</t>
  </si>
  <si>
    <t>Part 3 "SUM / COUNT / AVERAGE"</t>
  </si>
  <si>
    <t>Part 4 "Format Columns Like..."</t>
  </si>
  <si>
    <t>Part 5 "Lock Cell Reference Like…"</t>
  </si>
  <si>
    <t>Part 6 "Bold / Underline / Italics"</t>
  </si>
  <si>
    <r>
      <rPr>
        <sz val="18"/>
        <color theme="1"/>
        <rFont val="Segoe UI Light"/>
        <family val="2"/>
      </rPr>
      <t>Take the</t>
    </r>
    <r>
      <rPr>
        <sz val="22"/>
        <color theme="1"/>
        <rFont val="Segoe UI Light"/>
        <family val="2"/>
      </rPr>
      <t xml:space="preserve">: </t>
    </r>
    <r>
      <rPr>
        <u/>
        <sz val="26"/>
        <color theme="1"/>
        <rFont val="Segoe UI Light"/>
        <family val="2"/>
      </rPr>
      <t>Shortcut Challenge</t>
    </r>
  </si>
  <si>
    <t>NO CHEATING… Jesus is watching :)</t>
  </si>
  <si>
    <t>Why should I take the challenge?</t>
  </si>
  <si>
    <t>Challenge</t>
  </si>
  <si>
    <t>Version</t>
  </si>
  <si>
    <t>Description</t>
  </si>
  <si>
    <t>Current Version:</t>
  </si>
  <si>
    <t>CRUTER's Shortcut Challenge</t>
  </si>
  <si>
    <t>Part 1 "Hopping Around Excel"</t>
  </si>
  <si>
    <t>2a Correct?</t>
  </si>
  <si>
    <t>Pretty simple, right?  To get started, simply select the yellow cell below.  Good luck!</t>
  </si>
  <si>
    <t>Select To Start</t>
  </si>
  <si>
    <t>Select this cell &amp; hop right</t>
  </si>
  <si>
    <t>Welcome to Cell CA8!</t>
  </si>
  <si>
    <t>Select HERE and HOP DOWN</t>
  </si>
  <si>
    <t>Welcome To Row 5550! HOP RIGHT -&gt;</t>
  </si>
  <si>
    <t>Hey There... HOP UP ^</t>
  </si>
  <si>
    <t>Let's Speed it Up!... Hop Left &lt;-</t>
  </si>
  <si>
    <t>Hop Up ^</t>
  </si>
  <si>
    <t>Hop Left &lt;-</t>
  </si>
  <si>
    <t>Hop Down!</t>
  </si>
  <si>
    <t>GO TO CELL A1</t>
  </si>
  <si>
    <t>Go To The Last Activecell in Worksheet</t>
  </si>
  <si>
    <t>THIS IS THE LAST ACTIVECELL IN THE WORKSHEET!  IL6819</t>
  </si>
  <si>
    <t>Part 2 - More Shortcuts</t>
  </si>
  <si>
    <t>Let's get a bit more tricky.  No worries, just click the question mark (?) if you get stuck.</t>
  </si>
  <si>
    <t>Highlight Cells Containing 'X'</t>
  </si>
  <si>
    <t>X</t>
  </si>
  <si>
    <t>SUM</t>
  </si>
  <si>
    <t>COUNT</t>
  </si>
  <si>
    <t>AVERAGE</t>
  </si>
  <si>
    <t>No</t>
  </si>
  <si>
    <t>Format Columns Like…</t>
  </si>
  <si>
    <t>$X,XX0.00</t>
  </si>
  <si>
    <t>X,XX0.00</t>
  </si>
  <si>
    <t>X%</t>
  </si>
  <si>
    <t>Lock Cell Reference Like...</t>
  </si>
  <si>
    <t>=$F$36</t>
  </si>
  <si>
    <t>=$G36</t>
  </si>
  <si>
    <t>=H$36</t>
  </si>
  <si>
    <t>Bold / Underline / Italics The Following Cells…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</si>
</sst>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/d/yy\ h:mm\ AM/PM;@"/>
    <numFmt numFmtId="165" formatCode="hh:mm:ss"/>
    <numFmt numFmtId="166" formatCode="h:mm:ss;@"/>
  </numFmts>
  <fonts count="40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Segoe UI Light"/>
      <family val="2"/>
    </font>
    <font>
      <sz val="22"/>
      <color theme="1"/>
      <name val="Segoe UI Light"/>
      <family val="2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4"/>
      <color theme="1"/>
      <name val="Calibri"/>
      <family val="2"/>
      <scheme val="minor"/>
    </font>
    <font>
      <sz val="18"/>
      <color theme="0"/>
      <name val="Segoe UI Light"/>
      <family val="2"/>
    </font>
    <font>
      <b/>
      <u/>
      <sz val="11"/>
      <color theme="1"/>
      <name val="Calibri"/>
      <family val="2"/>
      <scheme val="minor"/>
    </font>
    <font>
      <b/>
      <u/>
      <sz val="14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20"/>
      <color theme="0"/>
      <name val="Segoe UI Light"/>
      <family val="2"/>
    </font>
    <font>
      <sz val="36"/>
      <color theme="0"/>
      <name val="Segoe UI Light"/>
      <family val="2"/>
    </font>
    <font>
      <sz val="11"/>
      <color theme="0" tint="-0.14999847407452621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14"/>
      <color theme="0" tint="-0.14999847407452621"/>
      <name val="Calibri"/>
      <family val="2"/>
      <scheme val="minor"/>
    </font>
    <font>
      <sz val="20"/>
      <color theme="0" tint="-0.14999847407452621"/>
      <name val="Calibri"/>
      <family val="2"/>
      <scheme val="minor"/>
    </font>
    <font>
      <sz val="22"/>
      <color theme="0" tint="-0.14999847407452621"/>
      <name val="Calibri"/>
      <family val="2"/>
      <scheme val="minor"/>
    </font>
    <font>
      <u val="singleAccounting"/>
      <sz val="14"/>
      <color theme="0" tint="-0.1499984740745262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u val="singleAccounting"/>
      <sz val="11"/>
      <color theme="1"/>
      <name val="Calibri"/>
      <family val="2"/>
      <scheme val="minor"/>
    </font>
    <font>
      <sz val="24"/>
      <color theme="0" tint="-0.14999847407452621"/>
      <name val="Segoe UI Light"/>
      <family val="2"/>
    </font>
    <font>
      <i/>
      <sz val="12"/>
      <color theme="0" tint="-0.34998626667073579"/>
      <name val="Calibri"/>
      <family val="2"/>
      <scheme val="minor"/>
    </font>
    <font>
      <sz val="20"/>
      <color theme="1"/>
      <name val="Segoe UI Light"/>
      <family val="2"/>
    </font>
    <font>
      <sz val="14"/>
      <color theme="1" tint="0.34998626667073579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u/>
      <sz val="26"/>
      <color theme="1"/>
      <name val="Segoe UI Light"/>
      <family val="2"/>
    </font>
    <font>
      <i/>
      <sz val="16"/>
      <color theme="1" tint="0.499984740745262"/>
      <name val="Calibri"/>
      <family val="2"/>
      <scheme val="minor"/>
    </font>
    <font>
      <b/>
      <sz val="18"/>
      <color theme="6" tint="-0.249977111117893"/>
      <name val="Calibri"/>
      <family val="2"/>
      <scheme val="minor"/>
    </font>
    <font>
      <sz val="12"/>
      <color theme="1" tint="0.249977111117893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20"/>
      <color rgb="FFFF0000"/>
      <name val="Calibri"/>
      <family val="2"/>
      <scheme val="minor"/>
    </font>
    <font>
      <b/>
      <sz val="26"/>
      <color theme="0" tint="-0.249977111117893"/>
      <name val="Bradley Hand ITC"/>
      <family val="4"/>
    </font>
    <font>
      <i/>
      <sz val="11"/>
      <color theme="9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n">
        <color theme="0" tint="-0.499984740745262"/>
      </bottom>
      <diagonal/>
    </border>
    <border>
      <left/>
      <right/>
      <top style="thin">
        <color theme="0" tint="-0.499984740745262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1" tint="0.34998626667073579"/>
      </left>
      <right/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theme="0" tint="-0.1499679555650502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3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9" fontId="11" fillId="0" borderId="0" applyFont="0" applyFill="0" applyBorder="0" applyAlignment="0" applyProtection="0"/>
  </cellStyleXfs>
  <cellXfs count="89">
    <xf numFmtId="0" fontId="0" fillId="0" borderId="0" xfId="0"/>
    <xf numFmtId="0" fontId="5" fillId="0" borderId="0" xfId="0" applyFont="1"/>
    <xf numFmtId="0" fontId="6" fillId="0" borderId="0" xfId="0" applyFont="1"/>
    <xf numFmtId="0" fontId="4" fillId="0" borderId="0" xfId="0" applyFont="1"/>
    <xf numFmtId="164" fontId="0" fillId="0" borderId="0" xfId="0" applyNumberFormat="1"/>
    <xf numFmtId="0" fontId="4" fillId="0" borderId="0" xfId="0" applyFont="1" applyAlignment="1">
      <alignment horizontal="right"/>
    </xf>
    <xf numFmtId="0" fontId="10" fillId="0" borderId="0" xfId="0" applyFont="1" applyAlignment="1">
      <alignment vertical="top"/>
    </xf>
    <xf numFmtId="22" fontId="0" fillId="0" borderId="0" xfId="0" applyNumberFormat="1"/>
    <xf numFmtId="0" fontId="7" fillId="0" borderId="0" xfId="0" applyFont="1" applyAlignment="1">
      <alignment horizontal="right"/>
    </xf>
    <xf numFmtId="0" fontId="9" fillId="0" borderId="0" xfId="0" quotePrefix="1" applyFont="1" applyAlignment="1">
      <alignment horizontal="center"/>
    </xf>
    <xf numFmtId="0" fontId="0" fillId="2" borderId="0" xfId="0" applyFill="1"/>
    <xf numFmtId="0" fontId="14" fillId="2" borderId="0" xfId="0" applyFont="1" applyFill="1"/>
    <xf numFmtId="0" fontId="15" fillId="2" borderId="0" xfId="0" applyFont="1" applyFill="1"/>
    <xf numFmtId="0" fontId="14" fillId="2" borderId="0" xfId="0" applyFont="1" applyFill="1" applyAlignment="1">
      <alignment horizontal="left" indent="1"/>
    </xf>
    <xf numFmtId="0" fontId="16" fillId="4" borderId="0" xfId="0" applyFont="1" applyFill="1" applyAlignment="1">
      <alignment vertical="center"/>
    </xf>
    <xf numFmtId="0" fontId="15" fillId="2" borderId="0" xfId="0" applyFont="1" applyFill="1" applyAlignment="1">
      <alignment horizontal="left" indent="1"/>
    </xf>
    <xf numFmtId="43" fontId="21" fillId="0" borderId="0" xfId="1" applyFont="1" applyAlignment="1">
      <alignment horizontal="center"/>
    </xf>
    <xf numFmtId="0" fontId="23" fillId="2" borderId="0" xfId="0" applyFont="1" applyFill="1" applyAlignment="1">
      <alignment horizontal="right" indent="3"/>
    </xf>
    <xf numFmtId="0" fontId="26" fillId="0" borderId="0" xfId="0" applyFont="1"/>
    <xf numFmtId="0" fontId="24" fillId="5" borderId="11" xfId="0" applyFont="1" applyFill="1" applyBorder="1" applyAlignment="1">
      <alignment horizontal="left" indent="3"/>
    </xf>
    <xf numFmtId="0" fontId="0" fillId="5" borderId="12" xfId="0" applyFill="1" applyBorder="1"/>
    <xf numFmtId="0" fontId="0" fillId="5" borderId="13" xfId="0" applyFill="1" applyBorder="1"/>
    <xf numFmtId="0" fontId="28" fillId="0" borderId="0" xfId="0" applyFont="1"/>
    <xf numFmtId="0" fontId="0" fillId="0" borderId="0" xfId="0" applyAlignment="1">
      <alignment horizontal="left" wrapText="1"/>
    </xf>
    <xf numFmtId="165" fontId="17" fillId="4" borderId="16" xfId="0" applyNumberFormat="1" applyFont="1" applyFill="1" applyBorder="1"/>
    <xf numFmtId="0" fontId="18" fillId="4" borderId="16" xfId="0" applyFont="1" applyFill="1" applyBorder="1" applyAlignment="1">
      <alignment horizontal="centerContinuous"/>
    </xf>
    <xf numFmtId="0" fontId="30" fillId="6" borderId="0" xfId="0" applyFont="1" applyFill="1" applyAlignment="1">
      <alignment horizontal="left" indent="1"/>
    </xf>
    <xf numFmtId="0" fontId="30" fillId="6" borderId="0" xfId="0" applyFont="1" applyFill="1"/>
    <xf numFmtId="165" fontId="30" fillId="6" borderId="0" xfId="0" applyNumberFormat="1" applyFont="1" applyFill="1" applyAlignment="1" applyProtection="1">
      <alignment horizontal="center"/>
      <protection hidden="1"/>
    </xf>
    <xf numFmtId="0" fontId="30" fillId="7" borderId="0" xfId="0" applyFont="1" applyFill="1" applyAlignment="1">
      <alignment horizontal="left" indent="1"/>
    </xf>
    <xf numFmtId="0" fontId="30" fillId="7" borderId="0" xfId="0" applyFont="1" applyFill="1"/>
    <xf numFmtId="165" fontId="30" fillId="7" borderId="0" xfId="0" applyNumberFormat="1" applyFont="1" applyFill="1" applyAlignment="1" applyProtection="1">
      <alignment horizontal="center"/>
      <protection hidden="1"/>
    </xf>
    <xf numFmtId="165" fontId="0" fillId="0" borderId="0" xfId="0" applyNumberFormat="1"/>
    <xf numFmtId="0" fontId="33" fillId="0" borderId="0" xfId="0" applyFont="1"/>
    <xf numFmtId="0" fontId="32" fillId="0" borderId="0" xfId="0" applyFont="1" applyAlignment="1" applyProtection="1">
      <alignment horizontal="left"/>
      <protection hidden="1"/>
    </xf>
    <xf numFmtId="0" fontId="32" fillId="0" borderId="0" xfId="0" applyFont="1" applyProtection="1">
      <protection hidden="1"/>
    </xf>
    <xf numFmtId="166" fontId="32" fillId="0" borderId="0" xfId="0" applyNumberFormat="1" applyFont="1" applyProtection="1">
      <protection hidden="1"/>
    </xf>
    <xf numFmtId="22" fontId="32" fillId="0" borderId="0" xfId="0" applyNumberFormat="1" applyFont="1" applyProtection="1">
      <protection hidden="1"/>
    </xf>
    <xf numFmtId="0" fontId="34" fillId="3" borderId="0" xfId="0" applyFont="1" applyFill="1"/>
    <xf numFmtId="0" fontId="0" fillId="3" borderId="0" xfId="0" applyFill="1"/>
    <xf numFmtId="0" fontId="35" fillId="2" borderId="0" xfId="0" applyFont="1" applyFill="1" applyAlignment="1">
      <alignment horizontal="left" indent="5"/>
    </xf>
    <xf numFmtId="43" fontId="19" fillId="4" borderId="0" xfId="1" applyFont="1" applyFill="1" applyAlignment="1">
      <alignment horizontal="center" vertical="center"/>
    </xf>
    <xf numFmtId="0" fontId="36" fillId="2" borderId="0" xfId="0" applyFont="1" applyFill="1" applyAlignment="1">
      <alignment horizontal="left" indent="1"/>
    </xf>
    <xf numFmtId="0" fontId="36" fillId="2" borderId="0" xfId="0" applyFont="1" applyFill="1" applyAlignment="1">
      <alignment horizontal="right" indent="1"/>
    </xf>
    <xf numFmtId="0" fontId="37" fillId="0" borderId="0" xfId="0" applyFont="1"/>
    <xf numFmtId="0" fontId="38" fillId="0" borderId="0" xfId="0" applyFont="1"/>
    <xf numFmtId="0" fontId="0" fillId="0" borderId="2" xfId="0" applyBorder="1" applyAlignment="1">
      <alignment horizontal="left" vertical="top" wrapText="1" indent="1"/>
    </xf>
    <xf numFmtId="0" fontId="3" fillId="0" borderId="0" xfId="0" applyFont="1" applyAlignment="1">
      <alignment horizontal="center"/>
    </xf>
    <xf numFmtId="0" fontId="25" fillId="0" borderId="1" xfId="0" applyFont="1" applyBorder="1" applyAlignment="1">
      <alignment horizontal="left"/>
    </xf>
    <xf numFmtId="0" fontId="26" fillId="0" borderId="2" xfId="0" applyFont="1" applyBorder="1" applyAlignment="1">
      <alignment horizontal="left" vertical="top" wrapText="1" indent="1"/>
    </xf>
    <xf numFmtId="0" fontId="26" fillId="0" borderId="0" xfId="0" applyFont="1" applyAlignment="1">
      <alignment horizontal="left" vertical="top" wrapText="1" indent="1"/>
    </xf>
    <xf numFmtId="0" fontId="12" fillId="2" borderId="0" xfId="0" applyFont="1" applyFill="1" applyAlignment="1">
      <alignment horizontal="center"/>
    </xf>
    <xf numFmtId="0" fontId="1" fillId="0" borderId="0" xfId="0" applyFont="1" applyAlignment="1">
      <alignment horizontal="left" vertical="center" wrapText="1"/>
    </xf>
    <xf numFmtId="0" fontId="20" fillId="2" borderId="0" xfId="0" applyFont="1" applyFill="1" applyAlignment="1">
      <alignment horizontal="center"/>
    </xf>
    <xf numFmtId="0" fontId="31" fillId="5" borderId="14" xfId="0" applyFont="1" applyFill="1" applyBorder="1" applyAlignment="1">
      <alignment horizontal="center"/>
    </xf>
    <xf numFmtId="0" fontId="31" fillId="5" borderId="15" xfId="0" applyFont="1" applyFill="1" applyBorder="1" applyAlignment="1">
      <alignment horizontal="center"/>
    </xf>
    <xf numFmtId="8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left" vertical="top" wrapText="1"/>
    </xf>
    <xf numFmtId="0" fontId="1" fillId="0" borderId="0" xfId="0" applyFont="1" applyAlignment="1">
      <alignment horizontal="center" vertical="center"/>
    </xf>
    <xf numFmtId="0" fontId="8" fillId="2" borderId="0" xfId="0" applyFont="1" applyFill="1" applyAlignment="1">
      <alignment horizontal="center"/>
    </xf>
    <xf numFmtId="0" fontId="22" fillId="2" borderId="0" xfId="0" applyFont="1" applyFill="1" applyAlignment="1">
      <alignment horizontal="center"/>
    </xf>
    <xf numFmtId="43" fontId="19" fillId="4" borderId="0" xfId="1" applyFont="1" applyFill="1" applyAlignment="1">
      <alignment horizontal="center" vertical="center"/>
    </xf>
    <xf numFmtId="0" fontId="13" fillId="2" borderId="3" xfId="0" applyFont="1" applyFill="1" applyBorder="1" applyAlignment="1">
      <alignment horizontal="center" vertical="center"/>
    </xf>
    <xf numFmtId="0" fontId="13" fillId="2" borderId="4" xfId="0" applyFont="1" applyFill="1" applyBorder="1" applyAlignment="1">
      <alignment horizontal="center" vertical="center"/>
    </xf>
    <xf numFmtId="0" fontId="13" fillId="2" borderId="5" xfId="0" applyFont="1" applyFill="1" applyBorder="1" applyAlignment="1">
      <alignment horizontal="center" vertical="center"/>
    </xf>
    <xf numFmtId="0" fontId="13" fillId="2" borderId="6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13" fillId="2" borderId="7" xfId="0" applyFont="1" applyFill="1" applyBorder="1" applyAlignment="1">
      <alignment horizontal="center" vertical="center"/>
    </xf>
    <xf numFmtId="0" fontId="13" fillId="2" borderId="8" xfId="0" applyFont="1" applyFill="1" applyBorder="1" applyAlignment="1">
      <alignment horizontal="center" vertical="center"/>
    </xf>
    <xf numFmtId="0" fontId="13" fillId="2" borderId="9" xfId="0" applyFont="1" applyFill="1" applyBorder="1" applyAlignment="1">
      <alignment horizontal="center" vertical="center"/>
    </xf>
    <xf numFmtId="0" fontId="13" fillId="2" borderId="10" xfId="0" applyFont="1" applyFill="1" applyBorder="1" applyAlignment="1">
      <alignment horizontal="center" vertical="center"/>
    </xf>
    <xf numFmtId="43" fontId="19" fillId="4" borderId="0" xfId="1" applyFont="1" applyFill="1" applyAlignment="1">
      <alignment horizontal="left" vertical="center" indent="1"/>
    </xf>
    <xf numFmtId="0" fontId="30" fillId="7" borderId="0" xfId="0" applyFont="1" applyFill="1" applyAlignment="1" applyProtection="1">
      <alignment horizontal="center"/>
      <protection hidden="1"/>
    </xf>
    <xf numFmtId="0" fontId="30" fillId="6" borderId="0" xfId="0" applyFont="1" applyFill="1" applyAlignment="1" applyProtection="1">
      <alignment horizontal="center"/>
      <protection hidden="1"/>
    </xf>
    <xf numFmtId="0" fontId="29" fillId="3" borderId="17" xfId="0" applyFont="1" applyFill="1" applyBorder="1" applyAlignment="1">
      <alignment horizontal="center" vertical="center"/>
    </xf>
    <xf numFmtId="0" fontId="0" fillId="0" borderId="0" xfId="0" applyNumberFormat="1" applyFont="1" applyFill="1" applyBorder="1"/>
    <xf numFmtId="0" fontId="8" fillId="0" borderId="0" xfId="0" applyFont="1" applyFill="1" applyAlignment="1">
      <alignment horizontal="center"/>
    </xf>
    <xf numFmtId="0" fontId="0" fillId="0" borderId="17" xfId="0" applyFill="1" applyBorder="1" applyProtection="1">
      <protection locked="0"/>
    </xf>
    <xf numFmtId="0" fontId="0" fillId="3" borderId="17" xfId="0" applyFill="1" applyBorder="1" applyProtection="1">
      <protection locked="0"/>
    </xf>
    <xf numFmtId="0" fontId="0" fillId="0" borderId="17" xfId="0" applyFill="1" applyBorder="1"/>
    <xf numFmtId="0" fontId="0" fillId="3" borderId="17" xfId="0" applyFill="1" applyBorder="1"/>
    <xf numFmtId="0" fontId="4" fillId="3" borderId="17" xfId="0" applyFont="1" applyFill="1" applyBorder="1" applyProtection="1">
      <protection locked="0"/>
    </xf>
    <xf numFmtId="0" fontId="0" fillId="0" borderId="17" xfId="0" applyNumberFormat="1" applyFill="1" applyBorder="1" applyProtection="1">
      <protection locked="0"/>
    </xf>
    <xf numFmtId="0" fontId="0" fillId="0" borderId="17" xfId="0" applyNumberFormat="1" applyFont="1" applyFill="1" applyBorder="1" applyProtection="1">
      <protection locked="0"/>
    </xf>
    <xf numFmtId="18" fontId="39" fillId="0" borderId="17" xfId="2" applyNumberFormat="1" applyFont="1" applyFill="1" applyBorder="1" applyProtection="1">
      <protection locked="0"/>
    </xf>
    <xf numFmtId="9" fontId="39" fillId="0" borderId="17" xfId="1" applyNumberFormat="1" applyFont="1" applyFill="1" applyBorder="1" applyProtection="1">
      <protection locked="0"/>
    </xf>
    <xf numFmtId="9" fontId="39" fillId="0" borderId="17" xfId="3" applyNumberFormat="1" applyFont="1" applyFill="1" applyBorder="1" applyProtection="1">
      <protection locked="0"/>
    </xf>
    <xf numFmtId="9" fontId="39" fillId="0" borderId="17" xfId="2" applyNumberFormat="1" applyFont="1" applyFill="1" applyBorder="1" applyProtection="1">
      <protection locked="0"/>
    </xf>
  </cellXfs>
  <cellStyles count="4">
    <cellStyle name="Comma" xfId="1" builtinId="3"/>
    <cellStyle name="Currency" xfId="2" builtinId="4"/>
    <cellStyle name="Normal" xfId="0" builtinId="0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123825</xdr:rowOff>
    </xdr:from>
    <xdr:to>
      <xdr:col>8</xdr:col>
      <xdr:colOff>28574</xdr:colOff>
      <xdr:row>6</xdr:row>
      <xdr:rowOff>19050</xdr:rowOff>
    </xdr:to>
    <xdr:sp macro="[0]!start_Challenge" textlink="">
      <xdr:nvSpPr>
        <xdr:cNvPr id="2" name="Star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19124" y="638175"/>
          <a:ext cx="4714875" cy="657225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>
              <a:latin typeface="Segoe UI Light" pitchFamily="34" charset="0"/>
            </a:rPr>
            <a:t>Start Challenge</a:t>
          </a:r>
        </a:p>
      </xdr:txBody>
    </xdr:sp>
    <xdr:clientData/>
  </xdr:twoCellAnchor>
  <xdr:twoCellAnchor editAs="oneCell">
    <xdr:from>
      <xdr:col>8</xdr:col>
      <xdr:colOff>0</xdr:colOff>
      <xdr:row>23</xdr:row>
      <xdr:rowOff>0</xdr:rowOff>
    </xdr:from>
    <xdr:to>
      <xdr:col>8</xdr:col>
      <xdr:colOff>285750</xdr:colOff>
      <xdr:row>24</xdr:row>
      <xdr:rowOff>47625</xdr:rowOff>
    </xdr:to>
    <xdr:pic macro="[0]!qBeforeStart_5">
      <xdr:nvPicPr>
        <xdr:cNvPr id="6" name="Q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05425" y="5438775"/>
          <a:ext cx="285750" cy="2857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20</xdr:row>
      <xdr:rowOff>0</xdr:rowOff>
    </xdr:from>
    <xdr:to>
      <xdr:col>8</xdr:col>
      <xdr:colOff>285750</xdr:colOff>
      <xdr:row>21</xdr:row>
      <xdr:rowOff>47625</xdr:rowOff>
    </xdr:to>
    <xdr:pic macro="[0]!qBeforeStart_4">
      <xdr:nvPicPr>
        <xdr:cNvPr id="5" name="Q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05425" y="4238625"/>
          <a:ext cx="285750" cy="2857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17</xdr:row>
      <xdr:rowOff>0</xdr:rowOff>
    </xdr:from>
    <xdr:to>
      <xdr:col>8</xdr:col>
      <xdr:colOff>285750</xdr:colOff>
      <xdr:row>18</xdr:row>
      <xdr:rowOff>47625</xdr:rowOff>
    </xdr:to>
    <xdr:pic macro="[0]!qBeforeStart_3">
      <xdr:nvPicPr>
        <xdr:cNvPr id="4" name="Q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05425" y="3257550"/>
          <a:ext cx="285750" cy="285750"/>
        </a:xfrm>
        <a:prstGeom prst="rect">
          <a:avLst/>
        </a:prstGeom>
      </xdr:spPr>
    </xdr:pic>
    <xdr:clientData/>
  </xdr:twoCellAnchor>
  <xdr:oneCellAnchor>
    <xdr:from>
      <xdr:col>8</xdr:col>
      <xdr:colOff>0</xdr:colOff>
      <xdr:row>14</xdr:row>
      <xdr:rowOff>0</xdr:rowOff>
    </xdr:from>
    <xdr:ext cx="285750" cy="285750"/>
    <xdr:pic macro="[0]!qBeforeStart_2">
      <xdr:nvPicPr>
        <xdr:cNvPr id="9" name="Q2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81575" y="2590800"/>
          <a:ext cx="285750" cy="285750"/>
        </a:xfrm>
        <a:prstGeom prst="rect">
          <a:avLst/>
        </a:prstGeom>
      </xdr:spPr>
    </xdr:pic>
    <xdr:clientData/>
  </xdr:oneCellAnchor>
  <xdr:twoCellAnchor editAs="oneCell">
    <xdr:from>
      <xdr:col>8</xdr:col>
      <xdr:colOff>0</xdr:colOff>
      <xdr:row>11</xdr:row>
      <xdr:rowOff>0</xdr:rowOff>
    </xdr:from>
    <xdr:to>
      <xdr:col>8</xdr:col>
      <xdr:colOff>285750</xdr:colOff>
      <xdr:row>12</xdr:row>
      <xdr:rowOff>47625</xdr:rowOff>
    </xdr:to>
    <xdr:pic macro="[0]!qBeforeStart_1">
      <xdr:nvPicPr>
        <xdr:cNvPr id="3" name="Q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05425" y="1752600"/>
          <a:ext cx="285750" cy="285750"/>
        </a:xfrm>
        <a:prstGeom prst="rect">
          <a:avLst/>
        </a:prstGeom>
      </xdr:spPr>
    </xdr:pic>
    <xdr:clientData/>
  </xdr:twoCellAnchor>
  <xdr:twoCellAnchor>
    <xdr:from>
      <xdr:col>6</xdr:col>
      <xdr:colOff>180975</xdr:colOff>
      <xdr:row>8</xdr:row>
      <xdr:rowOff>228600</xdr:rowOff>
    </xdr:from>
    <xdr:to>
      <xdr:col>8</xdr:col>
      <xdr:colOff>285750</xdr:colOff>
      <xdr:row>11</xdr:row>
      <xdr:rowOff>142875</xdr:rowOff>
    </xdr:to>
    <xdr:cxnSp macro="">
      <xdr:nvCxnSpPr>
        <xdr:cNvPr id="8" name="Arrow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CxnSpPr>
          <a:endCxn id="3" idx="3"/>
        </xdr:cNvCxnSpPr>
      </xdr:nvCxnSpPr>
      <xdr:spPr>
        <a:xfrm>
          <a:off x="3943350" y="1981200"/>
          <a:ext cx="1323975" cy="685800"/>
        </a:xfrm>
        <a:prstGeom prst="curvedConnector3">
          <a:avLst>
            <a:gd name="adj1" fmla="val 131655"/>
          </a:avLst>
        </a:prstGeom>
        <a:ln w="38100">
          <a:solidFill>
            <a:schemeClr val="tx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590550</xdr:colOff>
      <xdr:row>25</xdr:row>
      <xdr:rowOff>85725</xdr:rowOff>
    </xdr:from>
    <xdr:to>
      <xdr:col>7</xdr:col>
      <xdr:colOff>581025</xdr:colOff>
      <xdr:row>28</xdr:row>
      <xdr:rowOff>142875</xdr:rowOff>
    </xdr:to>
    <xdr:sp macro="[0]!challengeAFriend_click" textlink="">
      <xdr:nvSpPr>
        <xdr:cNvPr id="12" name="ChallengeFriend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2381250" y="4895850"/>
          <a:ext cx="2571750" cy="628650"/>
        </a:xfrm>
        <a:prstGeom prst="roundRect">
          <a:avLst/>
        </a:prstGeom>
        <a:solidFill>
          <a:schemeClr val="tx2"/>
        </a:soli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Challenge A Friend</a:t>
          </a:r>
        </a:p>
      </xdr:txBody>
    </xdr:sp>
    <xdr:clientData/>
  </xdr:twoCellAnchor>
  <xdr:twoCellAnchor>
    <xdr:from>
      <xdr:col>9</xdr:col>
      <xdr:colOff>251460</xdr:colOff>
      <xdr:row>2</xdr:row>
      <xdr:rowOff>121920</xdr:rowOff>
    </xdr:from>
    <xdr:to>
      <xdr:col>11</xdr:col>
      <xdr:colOff>563880</xdr:colOff>
      <xdr:row>6</xdr:row>
      <xdr:rowOff>7620</xdr:rowOff>
    </xdr:to>
    <xdr:sp macro="[0]!watch_Cruter_First" textlink="">
      <xdr:nvSpPr>
        <xdr:cNvPr id="11" name="Rounded Rectangl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5928360" y="792480"/>
          <a:ext cx="1531620" cy="61722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Watch</a:t>
          </a:r>
          <a:r>
            <a:rPr lang="en-US" sz="1400" baseline="0"/>
            <a:t> </a:t>
          </a:r>
          <a:r>
            <a:rPr lang="en-US" sz="1400" b="1" u="sng" baseline="0"/>
            <a:t>CRUTER</a:t>
          </a:r>
          <a:r>
            <a:rPr lang="en-US" sz="1400" u="sng" baseline="0"/>
            <a:t> </a:t>
          </a:r>
          <a:r>
            <a:rPr lang="en-US" sz="1400" baseline="0"/>
            <a:t>do it First</a:t>
          </a:r>
          <a:endParaRPr lang="en-US" sz="1400"/>
        </a:p>
      </xdr:txBody>
    </xdr:sp>
    <xdr:clientData/>
  </xdr:twoCellAnchor>
  <xdr:twoCellAnchor>
    <xdr:from>
      <xdr:col>8</xdr:col>
      <xdr:colOff>30480</xdr:colOff>
      <xdr:row>3</xdr:row>
      <xdr:rowOff>30480</xdr:rowOff>
    </xdr:from>
    <xdr:to>
      <xdr:col>8</xdr:col>
      <xdr:colOff>548640</xdr:colOff>
      <xdr:row>5</xdr:row>
      <xdr:rowOff>106680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 txBox="1"/>
      </xdr:nvSpPr>
      <xdr:spPr>
        <a:xfrm>
          <a:off x="5097780" y="883920"/>
          <a:ext cx="518160" cy="4419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 u="sng">
              <a:latin typeface="Segoe UI Light" panose="020B0502040204020203" pitchFamily="34" charset="0"/>
              <a:cs typeface="Segoe UI Light" panose="020B0502040204020203" pitchFamily="34" charset="0"/>
            </a:rPr>
            <a:t>OR</a:t>
          </a:r>
        </a:p>
      </xdr:txBody>
    </xdr:sp>
    <xdr:clientData/>
  </xdr:twoCellAnchor>
  <xdr:twoCellAnchor>
    <xdr:from>
      <xdr:col>8</xdr:col>
      <xdr:colOff>548640</xdr:colOff>
      <xdr:row>4</xdr:row>
      <xdr:rowOff>64770</xdr:rowOff>
    </xdr:from>
    <xdr:to>
      <xdr:col>9</xdr:col>
      <xdr:colOff>251460</xdr:colOff>
      <xdr:row>4</xdr:row>
      <xdr:rowOff>68580</xdr:rowOff>
    </xdr:to>
    <xdr:cxnSp macro="">
      <xdr:nvCxnSpPr>
        <xdr:cNvPr id="15" name="Straight Arrow Connector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CxnSpPr>
          <a:stCxn id="13" idx="3"/>
          <a:endCxn id="11" idx="1"/>
        </xdr:cNvCxnSpPr>
      </xdr:nvCxnSpPr>
      <xdr:spPr>
        <a:xfrm flipV="1">
          <a:off x="5615940" y="1101090"/>
          <a:ext cx="312420" cy="3810"/>
        </a:xfrm>
        <a:prstGeom prst="straightConnector1">
          <a:avLst/>
        </a:prstGeom>
        <a:ln w="1270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</xdr:col>
      <xdr:colOff>22860</xdr:colOff>
      <xdr:row>0</xdr:row>
      <xdr:rowOff>121920</xdr:rowOff>
    </xdr:from>
    <xdr:to>
      <xdr:col>11</xdr:col>
      <xdr:colOff>167640</xdr:colOff>
      <xdr:row>3</xdr:row>
      <xdr:rowOff>22860</xdr:rowOff>
    </xdr:to>
    <xdr:pic macro="[0]!watch_Cruter_First">
      <xdr:nvPicPr>
        <xdr:cNvPr id="14" name="irc_mi" descr="Image result for binoculars icon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09360" y="121920"/>
          <a:ext cx="75438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142875</xdr:colOff>
      <xdr:row>16</xdr:row>
      <xdr:rowOff>266700</xdr:rowOff>
    </xdr:from>
    <xdr:to>
      <xdr:col>7</xdr:col>
      <xdr:colOff>428625</xdr:colOff>
      <xdr:row>17</xdr:row>
      <xdr:rowOff>266700</xdr:rowOff>
    </xdr:to>
    <xdr:pic macro="[0]!hiwQ1">
      <xdr:nvPicPr>
        <xdr:cNvPr id="6" name="Q1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90975" y="3876675"/>
          <a:ext cx="285750" cy="28575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0</xdr:rowOff>
    </xdr:from>
    <xdr:to>
      <xdr:col>8</xdr:col>
      <xdr:colOff>561975</xdr:colOff>
      <xdr:row>21</xdr:row>
      <xdr:rowOff>85725</xdr:rowOff>
    </xdr:to>
    <xdr:sp macro="[0]!hiwNext_2" textlink="">
      <xdr:nvSpPr>
        <xdr:cNvPr id="7" name="Btn4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90500" y="3895725"/>
          <a:ext cx="4829175" cy="466725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latin typeface="Segoe UI Light" panose="020B0502040204020203" pitchFamily="34" charset="0"/>
              <a:cs typeface="Segoe UI Light" panose="020B0502040204020203" pitchFamily="34" charset="0"/>
            </a:rPr>
            <a:t>NEXT</a:t>
          </a:r>
        </a:p>
      </xdr:txBody>
    </xdr:sp>
    <xdr:clientData/>
  </xdr:twoCellAnchor>
  <xdr:twoCellAnchor>
    <xdr:from>
      <xdr:col>1</xdr:col>
      <xdr:colOff>0</xdr:colOff>
      <xdr:row>12</xdr:row>
      <xdr:rowOff>114300</xdr:rowOff>
    </xdr:from>
    <xdr:to>
      <xdr:col>8</xdr:col>
      <xdr:colOff>561975</xdr:colOff>
      <xdr:row>15</xdr:row>
      <xdr:rowOff>9525</xdr:rowOff>
    </xdr:to>
    <xdr:sp macro="[0]!hiwNext_1" textlink="">
      <xdr:nvSpPr>
        <xdr:cNvPr id="5" name="Btn3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90500" y="2676525"/>
          <a:ext cx="4829175" cy="466725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latin typeface="Segoe UI Light" panose="020B0502040204020203" pitchFamily="34" charset="0"/>
              <a:cs typeface="Segoe UI Light" panose="020B0502040204020203" pitchFamily="34" charset="0"/>
            </a:rPr>
            <a:t>NEXT</a:t>
          </a:r>
        </a:p>
      </xdr:txBody>
    </xdr:sp>
    <xdr:clientData/>
  </xdr:twoCellAnchor>
  <xdr:twoCellAnchor>
    <xdr:from>
      <xdr:col>1</xdr:col>
      <xdr:colOff>28575</xdr:colOff>
      <xdr:row>6</xdr:row>
      <xdr:rowOff>0</xdr:rowOff>
    </xdr:from>
    <xdr:to>
      <xdr:col>8</xdr:col>
      <xdr:colOff>590550</xdr:colOff>
      <xdr:row>8</xdr:row>
      <xdr:rowOff>85725</xdr:rowOff>
    </xdr:to>
    <xdr:sp macro="[0]!showHowItWorks" textlink="">
      <xdr:nvSpPr>
        <xdr:cNvPr id="3" name="Btn2" hidden="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638175" y="1419225"/>
          <a:ext cx="4829175" cy="466725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latin typeface="Segoe UI Light" panose="020B0502040204020203" pitchFamily="34" charset="0"/>
              <a:cs typeface="Segoe UI Light" panose="020B0502040204020203" pitchFamily="34" charset="0"/>
            </a:rPr>
            <a:t>SHOW ME HOW-IT-WORKS</a:t>
          </a:r>
        </a:p>
      </xdr:txBody>
    </xdr:sp>
    <xdr:clientData/>
  </xdr:twoCellAnchor>
  <xdr:twoCellAnchor>
    <xdr:from>
      <xdr:col>6</xdr:col>
      <xdr:colOff>361949</xdr:colOff>
      <xdr:row>2</xdr:row>
      <xdr:rowOff>133349</xdr:rowOff>
    </xdr:from>
    <xdr:to>
      <xdr:col>8</xdr:col>
      <xdr:colOff>590550</xdr:colOff>
      <xdr:row>4</xdr:row>
      <xdr:rowOff>0</xdr:rowOff>
    </xdr:to>
    <xdr:sp macro="[0]!skipIntro" textlink="">
      <xdr:nvSpPr>
        <xdr:cNvPr id="2" name="Btn1" hidden="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600449" y="714374"/>
          <a:ext cx="1447801" cy="323851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latin typeface="Segoe UI Light" panose="020B0502040204020203" pitchFamily="34" charset="0"/>
              <a:cs typeface="Segoe UI Light" panose="020B0502040204020203" pitchFamily="34" charset="0"/>
            </a:rPr>
            <a:t>Skip Intro</a:t>
          </a:r>
        </a:p>
      </xdr:txBody>
    </xdr:sp>
    <xdr:clientData/>
  </xdr:twoCellAnchor>
  <xdr:twoCellAnchor>
    <xdr:from>
      <xdr:col>4</xdr:col>
      <xdr:colOff>581025</xdr:colOff>
      <xdr:row>2</xdr:row>
      <xdr:rowOff>114300</xdr:rowOff>
    </xdr:from>
    <xdr:to>
      <xdr:col>4</xdr:col>
      <xdr:colOff>600075</xdr:colOff>
      <xdr:row>21</xdr:row>
      <xdr:rowOff>47625</xdr:rowOff>
    </xdr:to>
    <xdr:cxnSp macro="">
      <xdr:nvCxnSpPr>
        <xdr:cNvPr id="31" name="Arrow2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CxnSpPr/>
      </xdr:nvCxnSpPr>
      <xdr:spPr>
        <a:xfrm flipH="1">
          <a:off x="2600325" y="695325"/>
          <a:ext cx="19050" cy="4105275"/>
        </a:xfrm>
        <a:prstGeom prst="straightConnector1">
          <a:avLst/>
        </a:prstGeom>
        <a:ln w="5715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600075</xdr:colOff>
      <xdr:row>2</xdr:row>
      <xdr:rowOff>114300</xdr:rowOff>
    </xdr:from>
    <xdr:to>
      <xdr:col>4</xdr:col>
      <xdr:colOff>600075</xdr:colOff>
      <xdr:row>13</xdr:row>
      <xdr:rowOff>180975</xdr:rowOff>
    </xdr:to>
    <xdr:cxnSp macro="">
      <xdr:nvCxnSpPr>
        <xdr:cNvPr id="28" name="Arrow1" hidden="1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CxnSpPr/>
      </xdr:nvCxnSpPr>
      <xdr:spPr>
        <a:xfrm>
          <a:off x="2619375" y="695325"/>
          <a:ext cx="0" cy="2524125"/>
        </a:xfrm>
        <a:prstGeom prst="straightConnector1">
          <a:avLst/>
        </a:prstGeom>
        <a:ln w="5715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81</xdr:col>
      <xdr:colOff>914400</xdr:colOff>
      <xdr:row>2096</xdr:row>
      <xdr:rowOff>114300</xdr:rowOff>
    </xdr:from>
    <xdr:to>
      <xdr:col>82</xdr:col>
      <xdr:colOff>238125</xdr:colOff>
      <xdr:row>2098</xdr:row>
      <xdr:rowOff>19050</xdr:rowOff>
    </xdr:to>
    <xdr:pic macro="[0]!questionMark_9">
      <xdr:nvPicPr>
        <xdr:cNvPr id="22" name="Q9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615850" y="400164300"/>
          <a:ext cx="285750" cy="285750"/>
        </a:xfrm>
        <a:prstGeom prst="rect">
          <a:avLst/>
        </a:prstGeom>
      </xdr:spPr>
    </xdr:pic>
    <xdr:clientData/>
  </xdr:twoCellAnchor>
  <xdr:twoCellAnchor editAs="oneCell">
    <xdr:from>
      <xdr:col>8</xdr:col>
      <xdr:colOff>47625</xdr:colOff>
      <xdr:row>53</xdr:row>
      <xdr:rowOff>133350</xdr:rowOff>
    </xdr:from>
    <xdr:to>
      <xdr:col>8</xdr:col>
      <xdr:colOff>333375</xdr:colOff>
      <xdr:row>55</xdr:row>
      <xdr:rowOff>38100</xdr:rowOff>
    </xdr:to>
    <xdr:pic macro="[0]!questionMark_8">
      <xdr:nvPicPr>
        <xdr:cNvPr id="21" name="Q8" hidden="1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48275" y="10991850"/>
          <a:ext cx="285750" cy="285750"/>
        </a:xfrm>
        <a:prstGeom prst="rect">
          <a:avLst/>
        </a:prstGeom>
      </xdr:spPr>
    </xdr:pic>
    <xdr:clientData/>
  </xdr:twoCellAnchor>
  <xdr:twoCellAnchor editAs="oneCell">
    <xdr:from>
      <xdr:col>8</xdr:col>
      <xdr:colOff>38100</xdr:colOff>
      <xdr:row>39</xdr:row>
      <xdr:rowOff>133350</xdr:rowOff>
    </xdr:from>
    <xdr:to>
      <xdr:col>8</xdr:col>
      <xdr:colOff>323850</xdr:colOff>
      <xdr:row>41</xdr:row>
      <xdr:rowOff>38100</xdr:rowOff>
    </xdr:to>
    <xdr:pic macro="[0]!questionMark_7">
      <xdr:nvPicPr>
        <xdr:cNvPr id="19" name="Q7" hidden="1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6325" y="8324850"/>
          <a:ext cx="285750" cy="285750"/>
        </a:xfrm>
        <a:prstGeom prst="rect">
          <a:avLst/>
        </a:prstGeom>
      </xdr:spPr>
    </xdr:pic>
    <xdr:clientData/>
  </xdr:twoCellAnchor>
  <xdr:twoCellAnchor editAs="oneCell">
    <xdr:from>
      <xdr:col>4</xdr:col>
      <xdr:colOff>38100</xdr:colOff>
      <xdr:row>39</xdr:row>
      <xdr:rowOff>114300</xdr:rowOff>
    </xdr:from>
    <xdr:to>
      <xdr:col>4</xdr:col>
      <xdr:colOff>323850</xdr:colOff>
      <xdr:row>41</xdr:row>
      <xdr:rowOff>19050</xdr:rowOff>
    </xdr:to>
    <xdr:pic macro="[0]!questionMark_6">
      <xdr:nvPicPr>
        <xdr:cNvPr id="15" name="Q6" hidden="1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00300" y="8305800"/>
          <a:ext cx="285750" cy="285750"/>
        </a:xfrm>
        <a:prstGeom prst="rect">
          <a:avLst/>
        </a:prstGeom>
      </xdr:spPr>
    </xdr:pic>
    <xdr:clientData/>
  </xdr:twoCellAnchor>
  <xdr:twoCellAnchor editAs="oneCell">
    <xdr:from>
      <xdr:col>8</xdr:col>
      <xdr:colOff>38100</xdr:colOff>
      <xdr:row>25</xdr:row>
      <xdr:rowOff>133350</xdr:rowOff>
    </xdr:from>
    <xdr:to>
      <xdr:col>8</xdr:col>
      <xdr:colOff>323850</xdr:colOff>
      <xdr:row>27</xdr:row>
      <xdr:rowOff>38100</xdr:rowOff>
    </xdr:to>
    <xdr:pic macro="[0]!questionMark_5">
      <xdr:nvPicPr>
        <xdr:cNvPr id="14" name="Q5" hidden="1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38700" y="5657850"/>
          <a:ext cx="285750" cy="285750"/>
        </a:xfrm>
        <a:prstGeom prst="rect">
          <a:avLst/>
        </a:prstGeom>
      </xdr:spPr>
    </xdr:pic>
    <xdr:clientData/>
  </xdr:twoCellAnchor>
  <xdr:twoCellAnchor editAs="oneCell">
    <xdr:from>
      <xdr:col>4</xdr:col>
      <xdr:colOff>38100</xdr:colOff>
      <xdr:row>25</xdr:row>
      <xdr:rowOff>133350</xdr:rowOff>
    </xdr:from>
    <xdr:to>
      <xdr:col>4</xdr:col>
      <xdr:colOff>323850</xdr:colOff>
      <xdr:row>27</xdr:row>
      <xdr:rowOff>38100</xdr:rowOff>
    </xdr:to>
    <xdr:pic macro="[0]!questionMark_4">
      <xdr:nvPicPr>
        <xdr:cNvPr id="12" name="Q4" hidden="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00300" y="5657850"/>
          <a:ext cx="285750" cy="285750"/>
        </a:xfrm>
        <a:prstGeom prst="rect">
          <a:avLst/>
        </a:prstGeom>
      </xdr:spPr>
    </xdr:pic>
    <xdr:clientData/>
  </xdr:twoCellAnchor>
  <xdr:twoCellAnchor editAs="oneCell">
    <xdr:from>
      <xdr:col>5</xdr:col>
      <xdr:colOff>38100</xdr:colOff>
      <xdr:row>0</xdr:row>
      <xdr:rowOff>0</xdr:rowOff>
    </xdr:from>
    <xdr:to>
      <xdr:col>5</xdr:col>
      <xdr:colOff>323850</xdr:colOff>
      <xdr:row>0</xdr:row>
      <xdr:rowOff>285750</xdr:rowOff>
    </xdr:to>
    <xdr:pic macro="[0]!questionMark_3">
      <xdr:nvPicPr>
        <xdr:cNvPr id="7" name="Q3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0"/>
          <a:ext cx="285750" cy="285750"/>
        </a:xfrm>
        <a:prstGeom prst="rect">
          <a:avLst/>
        </a:prstGeom>
      </xdr:spPr>
    </xdr:pic>
    <xdr:clientData/>
  </xdr:twoCellAnchor>
  <xdr:twoCellAnchor editAs="oneCell">
    <xdr:from>
      <xdr:col>77</xdr:col>
      <xdr:colOff>333375</xdr:colOff>
      <xdr:row>12</xdr:row>
      <xdr:rowOff>142875</xdr:rowOff>
    </xdr:from>
    <xdr:to>
      <xdr:col>78</xdr:col>
      <xdr:colOff>9525</xdr:colOff>
      <xdr:row>14</xdr:row>
      <xdr:rowOff>47625</xdr:rowOff>
    </xdr:to>
    <xdr:pic macro="[0]!questionMark_2">
      <xdr:nvPicPr>
        <xdr:cNvPr id="6" name="Q2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196375" y="3048000"/>
          <a:ext cx="285750" cy="285750"/>
        </a:xfrm>
        <a:prstGeom prst="rect">
          <a:avLst/>
        </a:prstGeom>
      </xdr:spPr>
    </xdr:pic>
    <xdr:clientData/>
  </xdr:twoCellAnchor>
  <xdr:twoCellAnchor editAs="oneCell">
    <xdr:from>
      <xdr:col>4</xdr:col>
      <xdr:colOff>28575</xdr:colOff>
      <xdr:row>6</xdr:row>
      <xdr:rowOff>142875</xdr:rowOff>
    </xdr:from>
    <xdr:to>
      <xdr:col>4</xdr:col>
      <xdr:colOff>314325</xdr:colOff>
      <xdr:row>8</xdr:row>
      <xdr:rowOff>47625</xdr:rowOff>
    </xdr:to>
    <xdr:pic macro="[0]!questionMark_1">
      <xdr:nvPicPr>
        <xdr:cNvPr id="3" name="Q1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5500" y="1428750"/>
          <a:ext cx="285750" cy="285750"/>
        </a:xfrm>
        <a:prstGeom prst="rect">
          <a:avLst/>
        </a:prstGeom>
      </xdr:spPr>
    </xdr:pic>
    <xdr:clientData/>
  </xdr:twoCellAnchor>
  <xdr:twoCellAnchor>
    <xdr:from>
      <xdr:col>4</xdr:col>
      <xdr:colOff>549089</xdr:colOff>
      <xdr:row>65</xdr:row>
      <xdr:rowOff>19050</xdr:rowOff>
    </xdr:from>
    <xdr:to>
      <xdr:col>8</xdr:col>
      <xdr:colOff>9525</xdr:colOff>
      <xdr:row>66</xdr:row>
      <xdr:rowOff>123825</xdr:rowOff>
    </xdr:to>
    <xdr:sp macro="[0]!doneC1S2e" textlink="">
      <xdr:nvSpPr>
        <xdr:cNvPr id="20" name="Btn8" hidden="1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SpPr/>
      </xdr:nvSpPr>
      <xdr:spPr>
        <a:xfrm>
          <a:off x="3272118" y="13174756"/>
          <a:ext cx="2373966" cy="295275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DONE!</a:t>
          </a:r>
        </a:p>
      </xdr:txBody>
    </xdr:sp>
    <xdr:clientData/>
  </xdr:twoCellAnchor>
  <xdr:twoCellAnchor>
    <xdr:from>
      <xdr:col>6</xdr:col>
      <xdr:colOff>459441</xdr:colOff>
      <xdr:row>51</xdr:row>
      <xdr:rowOff>0</xdr:rowOff>
    </xdr:from>
    <xdr:to>
      <xdr:col>8</xdr:col>
      <xdr:colOff>2800</xdr:colOff>
      <xdr:row>52</xdr:row>
      <xdr:rowOff>104775</xdr:rowOff>
    </xdr:to>
    <xdr:sp macro="[0]!doneC1S2d" textlink="">
      <xdr:nvSpPr>
        <xdr:cNvPr id="17" name="Btn7" hidden="1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SpPr/>
      </xdr:nvSpPr>
      <xdr:spPr>
        <a:xfrm>
          <a:off x="4639235" y="10488706"/>
          <a:ext cx="1000124" cy="295275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DONE!</a:t>
          </a:r>
        </a:p>
      </xdr:txBody>
    </xdr:sp>
    <xdr:clientData/>
  </xdr:twoCellAnchor>
  <xdr:twoCellAnchor>
    <xdr:from>
      <xdr:col>2</xdr:col>
      <xdr:colOff>425823</xdr:colOff>
      <xdr:row>51</xdr:row>
      <xdr:rowOff>0</xdr:rowOff>
    </xdr:from>
    <xdr:to>
      <xdr:col>4</xdr:col>
      <xdr:colOff>28574</xdr:colOff>
      <xdr:row>52</xdr:row>
      <xdr:rowOff>104775</xdr:rowOff>
    </xdr:to>
    <xdr:sp macro="[0]!doneC1S2c" textlink="">
      <xdr:nvSpPr>
        <xdr:cNvPr id="16" name="Btn6" hidden="1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/>
      </xdr:nvSpPr>
      <xdr:spPr>
        <a:xfrm>
          <a:off x="1692088" y="10488706"/>
          <a:ext cx="1059515" cy="295275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DONE!</a:t>
          </a:r>
        </a:p>
      </xdr:txBody>
    </xdr:sp>
    <xdr:clientData/>
  </xdr:twoCellAnchor>
  <xdr:twoCellAnchor>
    <xdr:from>
      <xdr:col>6</xdr:col>
      <xdr:colOff>425824</xdr:colOff>
      <xdr:row>37</xdr:row>
      <xdr:rowOff>0</xdr:rowOff>
    </xdr:from>
    <xdr:to>
      <xdr:col>8</xdr:col>
      <xdr:colOff>28574</xdr:colOff>
      <xdr:row>38</xdr:row>
      <xdr:rowOff>104775</xdr:rowOff>
    </xdr:to>
    <xdr:sp macro="[0]!doneC1S2b" textlink="">
      <xdr:nvSpPr>
        <xdr:cNvPr id="13" name="Btn5" hidden="1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/>
      </xdr:nvSpPr>
      <xdr:spPr>
        <a:xfrm>
          <a:off x="4605618" y="7821706"/>
          <a:ext cx="1059515" cy="295275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DONE!</a:t>
          </a:r>
        </a:p>
      </xdr:txBody>
    </xdr:sp>
    <xdr:clientData/>
  </xdr:twoCellAnchor>
  <xdr:twoCellAnchor>
    <xdr:from>
      <xdr:col>2</xdr:col>
      <xdr:colOff>404629</xdr:colOff>
      <xdr:row>37</xdr:row>
      <xdr:rowOff>9525</xdr:rowOff>
    </xdr:from>
    <xdr:to>
      <xdr:col>4</xdr:col>
      <xdr:colOff>9525</xdr:colOff>
      <xdr:row>38</xdr:row>
      <xdr:rowOff>114300</xdr:rowOff>
    </xdr:to>
    <xdr:sp macro="[0]!doneC1S2a" textlink="">
      <xdr:nvSpPr>
        <xdr:cNvPr id="4" name="Btn4" hidden="1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1670894" y="7831231"/>
          <a:ext cx="1061660" cy="295275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DONE!</a:t>
          </a:r>
        </a:p>
      </xdr:txBody>
    </xdr:sp>
    <xdr:clientData/>
  </xdr:twoCellAnchor>
  <xdr:twoCellAnchor>
    <xdr:from>
      <xdr:col>1</xdr:col>
      <xdr:colOff>0</xdr:colOff>
      <xdr:row>21</xdr:row>
      <xdr:rowOff>104775</xdr:rowOff>
    </xdr:from>
    <xdr:to>
      <xdr:col>7</xdr:col>
      <xdr:colOff>590551</xdr:colOff>
      <xdr:row>23</xdr:row>
      <xdr:rowOff>180975</xdr:rowOff>
    </xdr:to>
    <xdr:sp macro="[0]!startChallenge_1S2" textlink="">
      <xdr:nvSpPr>
        <xdr:cNvPr id="11" name="Btn3" hidden="1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>
        <a:xfrm>
          <a:off x="533400" y="4867275"/>
          <a:ext cx="4248151" cy="4572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Start</a:t>
          </a:r>
          <a:endParaRPr lang="en-US" sz="1100"/>
        </a:p>
      </xdr:txBody>
    </xdr:sp>
    <xdr:clientData/>
  </xdr:twoCellAnchor>
  <xdr:twoCellAnchor>
    <xdr:from>
      <xdr:col>242</xdr:col>
      <xdr:colOff>409575</xdr:colOff>
      <xdr:row>6806</xdr:row>
      <xdr:rowOff>114301</xdr:rowOff>
    </xdr:from>
    <xdr:to>
      <xdr:col>245</xdr:col>
      <xdr:colOff>476250</xdr:colOff>
      <xdr:row>6809</xdr:row>
      <xdr:rowOff>9525</xdr:rowOff>
    </xdr:to>
    <xdr:sp macro="[0]!doneC1S1" textlink="">
      <xdr:nvSpPr>
        <xdr:cNvPr id="10" name="Btn2" hidden="1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>
        <a:xfrm>
          <a:off x="147856575" y="1297276426"/>
          <a:ext cx="1895475" cy="466724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/>
            <a:t>FINISH :)</a:t>
          </a:r>
        </a:p>
      </xdr:txBody>
    </xdr:sp>
    <xdr:clientData/>
  </xdr:twoCellAnchor>
  <xdr:twoCellAnchor>
    <xdr:from>
      <xdr:col>0</xdr:col>
      <xdr:colOff>533399</xdr:colOff>
      <xdr:row>4</xdr:row>
      <xdr:rowOff>123825</xdr:rowOff>
    </xdr:from>
    <xdr:to>
      <xdr:col>7</xdr:col>
      <xdr:colOff>590550</xdr:colOff>
      <xdr:row>6</xdr:row>
      <xdr:rowOff>66675</xdr:rowOff>
    </xdr:to>
    <xdr:sp macro="[0]!startChallenge_1S1" textlink="">
      <xdr:nvSpPr>
        <xdr:cNvPr id="2" name="Btn1" hidden="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533399" y="1371600"/>
          <a:ext cx="4248151" cy="4572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Start</a:t>
          </a:r>
          <a:endParaRPr lang="en-US" sz="1100"/>
        </a:p>
      </xdr:txBody>
    </xdr:sp>
    <xdr:clientData/>
  </xdr:twoCellAnchor>
  <xdr:twoCellAnchor>
    <xdr:from>
      <xdr:col>245</xdr:col>
      <xdr:colOff>285750</xdr:colOff>
      <xdr:row>6809</xdr:row>
      <xdr:rowOff>66675</xdr:rowOff>
    </xdr:from>
    <xdr:to>
      <xdr:col>245</xdr:col>
      <xdr:colOff>285750</xdr:colOff>
      <xdr:row>6817</xdr:row>
      <xdr:rowOff>142875</xdr:rowOff>
    </xdr:to>
    <xdr:cxnSp macro="">
      <xdr:nvCxnSpPr>
        <xdr:cNvPr id="9" name="Arrow2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CxnSpPr/>
      </xdr:nvCxnSpPr>
      <xdr:spPr>
        <a:xfrm flipV="1">
          <a:off x="149266275" y="1297324050"/>
          <a:ext cx="0" cy="1600200"/>
        </a:xfrm>
        <a:prstGeom prst="straightConnector1">
          <a:avLst/>
        </a:prstGeom>
        <a:ln w="5715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78</xdr:col>
      <xdr:colOff>304800</xdr:colOff>
      <xdr:row>9</xdr:row>
      <xdr:rowOff>57150</xdr:rowOff>
    </xdr:from>
    <xdr:to>
      <xdr:col>78</xdr:col>
      <xdr:colOff>304800</xdr:colOff>
      <xdr:row>12</xdr:row>
      <xdr:rowOff>152400</xdr:rowOff>
    </xdr:to>
    <xdr:cxnSp macro="">
      <xdr:nvCxnSpPr>
        <xdr:cNvPr id="5" name="Arrow1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CxnSpPr/>
      </xdr:nvCxnSpPr>
      <xdr:spPr>
        <a:xfrm>
          <a:off x="47482125" y="1914525"/>
          <a:ext cx="0" cy="666750"/>
        </a:xfrm>
        <a:prstGeom prst="straightConnector1">
          <a:avLst/>
        </a:prstGeom>
        <a:ln w="28575"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11206</xdr:colOff>
      <xdr:row>65</xdr:row>
      <xdr:rowOff>22412</xdr:rowOff>
    </xdr:from>
    <xdr:to>
      <xdr:col>4</xdr:col>
      <xdr:colOff>302558</xdr:colOff>
      <xdr:row>66</xdr:row>
      <xdr:rowOff>127187</xdr:rowOff>
    </xdr:to>
    <xdr:sp macro="[0]!skipC1S2e" textlink="">
      <xdr:nvSpPr>
        <xdr:cNvPr id="27" name="skip5" hidden="1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SpPr/>
      </xdr:nvSpPr>
      <xdr:spPr>
        <a:xfrm>
          <a:off x="549088" y="13178118"/>
          <a:ext cx="2476499" cy="2952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SKIP</a:t>
          </a:r>
        </a:p>
      </xdr:txBody>
    </xdr:sp>
    <xdr:clientData/>
  </xdr:twoCellAnchor>
  <xdr:twoCellAnchor>
    <xdr:from>
      <xdr:col>5</xdr:col>
      <xdr:colOff>33617</xdr:colOff>
      <xdr:row>51</xdr:row>
      <xdr:rowOff>0</xdr:rowOff>
    </xdr:from>
    <xdr:to>
      <xdr:col>6</xdr:col>
      <xdr:colOff>347382</xdr:colOff>
      <xdr:row>52</xdr:row>
      <xdr:rowOff>104775</xdr:rowOff>
    </xdr:to>
    <xdr:sp macro="[0]!skipC1S2d" textlink="">
      <xdr:nvSpPr>
        <xdr:cNvPr id="23" name="skip4" hidden="1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/>
      </xdr:nvSpPr>
      <xdr:spPr>
        <a:xfrm>
          <a:off x="3485029" y="10488706"/>
          <a:ext cx="1042147" cy="2952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SKIP</a:t>
          </a:r>
        </a:p>
      </xdr:txBody>
    </xdr:sp>
    <xdr:clientData/>
  </xdr:twoCellAnchor>
  <xdr:twoCellAnchor>
    <xdr:from>
      <xdr:col>1</xdr:col>
      <xdr:colOff>21194</xdr:colOff>
      <xdr:row>51</xdr:row>
      <xdr:rowOff>0</xdr:rowOff>
    </xdr:from>
    <xdr:to>
      <xdr:col>2</xdr:col>
      <xdr:colOff>352326</xdr:colOff>
      <xdr:row>52</xdr:row>
      <xdr:rowOff>104775</xdr:rowOff>
    </xdr:to>
    <xdr:sp macro="[0]!skipC1S2c" textlink="">
      <xdr:nvSpPr>
        <xdr:cNvPr id="24" name="skip3" hidden="1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/>
      </xdr:nvSpPr>
      <xdr:spPr>
        <a:xfrm>
          <a:off x="559076" y="10488706"/>
          <a:ext cx="1059515" cy="2952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SKIP</a:t>
          </a:r>
        </a:p>
      </xdr:txBody>
    </xdr:sp>
    <xdr:clientData/>
  </xdr:twoCellAnchor>
  <xdr:twoCellAnchor>
    <xdr:from>
      <xdr:col>5</xdr:col>
      <xdr:colOff>21194</xdr:colOff>
      <xdr:row>37</xdr:row>
      <xdr:rowOff>0</xdr:rowOff>
    </xdr:from>
    <xdr:to>
      <xdr:col>6</xdr:col>
      <xdr:colOff>352327</xdr:colOff>
      <xdr:row>38</xdr:row>
      <xdr:rowOff>104775</xdr:rowOff>
    </xdr:to>
    <xdr:sp macro="[0]!skipC1S2b" textlink="">
      <xdr:nvSpPr>
        <xdr:cNvPr id="25" name="skip2" hidden="1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/>
      </xdr:nvSpPr>
      <xdr:spPr>
        <a:xfrm>
          <a:off x="3472606" y="7821706"/>
          <a:ext cx="1059515" cy="2952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SKIP</a:t>
          </a:r>
        </a:p>
      </xdr:txBody>
    </xdr:sp>
    <xdr:clientData/>
  </xdr:twoCellAnchor>
  <xdr:twoCellAnchor>
    <xdr:from>
      <xdr:col>1</xdr:col>
      <xdr:colOff>0</xdr:colOff>
      <xdr:row>37</xdr:row>
      <xdr:rowOff>9525</xdr:rowOff>
    </xdr:from>
    <xdr:to>
      <xdr:col>2</xdr:col>
      <xdr:colOff>333277</xdr:colOff>
      <xdr:row>38</xdr:row>
      <xdr:rowOff>114300</xdr:rowOff>
    </xdr:to>
    <xdr:sp macro="[0]!skipC1S2a" textlink="">
      <xdr:nvSpPr>
        <xdr:cNvPr id="26" name="skip1" hidden="1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/>
      </xdr:nvSpPr>
      <xdr:spPr>
        <a:xfrm>
          <a:off x="537882" y="7831231"/>
          <a:ext cx="1061660" cy="2952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SKIP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314325</xdr:colOff>
      <xdr:row>23</xdr:row>
      <xdr:rowOff>180975</xdr:rowOff>
    </xdr:from>
    <xdr:to>
      <xdr:col>9</xdr:col>
      <xdr:colOff>561975</xdr:colOff>
      <xdr:row>30</xdr:row>
      <xdr:rowOff>123825</xdr:rowOff>
    </xdr:to>
    <xdr:sp macro="[0]!aceTheChallenge_click" textlink="">
      <xdr:nvSpPr>
        <xdr:cNvPr id="2" name="ACE-the-Challeng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009650" y="6477000"/>
          <a:ext cx="5305425" cy="14097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aseline="0">
              <a:latin typeface="+mn-lt"/>
            </a:rPr>
            <a:t>ACE the Challenge!</a:t>
          </a:r>
        </a:p>
        <a:p>
          <a:pPr algn="ctr"/>
          <a:r>
            <a:rPr lang="en-US" sz="2800" baseline="0">
              <a:latin typeface="+mn-lt"/>
            </a:rPr>
            <a:t>Become Awesome In Excel</a:t>
          </a:r>
        </a:p>
        <a:p>
          <a:pPr algn="ctr"/>
          <a:r>
            <a:rPr lang="en-US" sz="1600" i="0" baseline="0">
              <a:latin typeface="Bradley Hand ITC" panose="03070402050302030203" pitchFamily="66" charset="0"/>
              <a:cs typeface="MV Boli" panose="02000500030200090000" pitchFamily="2" charset="0"/>
            </a:rPr>
            <a:t>Also - Get Coupon Code!</a:t>
          </a:r>
          <a:endParaRPr lang="en-US" sz="2400" i="0" baseline="0">
            <a:latin typeface="Bradley Hand ITC" panose="03070402050302030203" pitchFamily="66" charset="0"/>
            <a:cs typeface="MV Boli" panose="02000500030200090000" pitchFamily="2" charset="0"/>
          </a:endParaRPr>
        </a:p>
      </xdr:txBody>
    </xdr:sp>
    <xdr:clientData/>
  </xdr:twoCellAnchor>
  <xdr:twoCellAnchor editAs="oneCell">
    <xdr:from>
      <xdr:col>7</xdr:col>
      <xdr:colOff>923925</xdr:colOff>
      <xdr:row>43</xdr:row>
      <xdr:rowOff>123825</xdr:rowOff>
    </xdr:from>
    <xdr:to>
      <xdr:col>11</xdr:col>
      <xdr:colOff>19050</xdr:colOff>
      <xdr:row>45</xdr:row>
      <xdr:rowOff>190500</xdr:rowOff>
    </xdr:to>
    <xdr:pic>
      <xdr:nvPicPr>
        <xdr:cNvPr id="8" name="CRUTER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86275" y="10191750"/>
          <a:ext cx="2352675" cy="447675"/>
        </a:xfrm>
        <a:prstGeom prst="round2DiagRect">
          <a:avLst>
            <a:gd name="adj1" fmla="val 16667"/>
            <a:gd name="adj2" fmla="val 0"/>
          </a:avLst>
        </a:prstGeom>
        <a:ln w="88900" cap="sq">
          <a:solidFill>
            <a:srgbClr val="FFFFFF"/>
          </a:solidFill>
          <a:miter lim="800000"/>
        </a:ln>
        <a:effectLst>
          <a:outerShdw blurRad="254000" algn="tl" rotWithShape="0">
            <a:srgbClr val="000000">
              <a:alpha val="43000"/>
            </a:srgbClr>
          </a:outerShdw>
        </a:effectLst>
      </xdr:spPr>
    </xdr:pic>
    <xdr:clientData/>
  </xdr:twoCellAnchor>
  <xdr:twoCellAnchor>
    <xdr:from>
      <xdr:col>7</xdr:col>
      <xdr:colOff>76201</xdr:colOff>
      <xdr:row>31</xdr:row>
      <xdr:rowOff>180975</xdr:rowOff>
    </xdr:from>
    <xdr:to>
      <xdr:col>9</xdr:col>
      <xdr:colOff>552451</xdr:colOff>
      <xdr:row>34</xdr:row>
      <xdr:rowOff>171450</xdr:rowOff>
    </xdr:to>
    <xdr:sp macro="[0]!retry_Challenge" textlink="">
      <xdr:nvSpPr>
        <xdr:cNvPr id="9" name="Retry-Challenge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3829051" y="8039100"/>
          <a:ext cx="2476500" cy="619125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latin typeface="Segoe UI Light" panose="020B0502040204020203" pitchFamily="34" charset="0"/>
              <a:cs typeface="Segoe UI Light" panose="020B0502040204020203" pitchFamily="34" charset="0"/>
            </a:rPr>
            <a:t>Retry Challenge</a:t>
          </a:r>
        </a:p>
      </xdr:txBody>
    </xdr:sp>
    <xdr:clientData/>
  </xdr:twoCellAnchor>
  <xdr:twoCellAnchor>
    <xdr:from>
      <xdr:col>3</xdr:col>
      <xdr:colOff>276225</xdr:colOff>
      <xdr:row>31</xdr:row>
      <xdr:rowOff>171450</xdr:rowOff>
    </xdr:from>
    <xdr:to>
      <xdr:col>6</xdr:col>
      <xdr:colOff>333375</xdr:colOff>
      <xdr:row>34</xdr:row>
      <xdr:rowOff>171450</xdr:rowOff>
    </xdr:to>
    <xdr:sp macro="[0]!challengeAFriend_click" textlink="">
      <xdr:nvSpPr>
        <xdr:cNvPr id="10" name="Challenge-A-Friend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971550" y="8029575"/>
          <a:ext cx="2571750" cy="628650"/>
        </a:xfrm>
        <a:prstGeom prst="roundRect">
          <a:avLst/>
        </a:prstGeom>
        <a:solidFill>
          <a:schemeClr val="tx2"/>
        </a:soli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Challenge A Friend</a:t>
          </a:r>
        </a:p>
      </xdr:txBody>
    </xdr:sp>
    <xdr:clientData/>
  </xdr:twoCellAnchor>
  <xdr:twoCellAnchor>
    <xdr:from>
      <xdr:col>8</xdr:col>
      <xdr:colOff>114300</xdr:colOff>
      <xdr:row>21</xdr:row>
      <xdr:rowOff>190500</xdr:rowOff>
    </xdr:from>
    <xdr:to>
      <xdr:col>9</xdr:col>
      <xdr:colOff>752475</xdr:colOff>
      <xdr:row>23</xdr:row>
      <xdr:rowOff>200025</xdr:rowOff>
    </xdr:to>
    <xdr:cxnSp macro="">
      <xdr:nvCxnSpPr>
        <xdr:cNvPr id="7" name="Arrow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CxnSpPr/>
      </xdr:nvCxnSpPr>
      <xdr:spPr>
        <a:xfrm>
          <a:off x="4905375" y="5534025"/>
          <a:ext cx="1600200" cy="428625"/>
        </a:xfrm>
        <a:prstGeom prst="curvedConnector3">
          <a:avLst>
            <a:gd name="adj1" fmla="val 123214"/>
          </a:avLst>
        </a:prstGeom>
        <a:ln w="57150">
          <a:solidFill>
            <a:schemeClr val="bg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" removeDataOnSave="1" adjustColumnWidth="0" connectionId="1" xr16:uid="{00000000-0016-0000-0100-00001900000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removeDataOnSave="1" adjustColumnWidth="0" connectionId="3" xr16:uid="{00000000-0016-0000-0100-000023000000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removeDataOnSave="1" adjustColumnWidth="0" connectionId="1" xr16:uid="{00000000-0016-0000-0100-00001E000000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" removeDataOnSave="1" adjustColumnWidth="0" connectionId="1" xr16:uid="{00000000-0016-0000-0100-000003000000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" removeDataOnSave="1" adjustColumnWidth="0" connectionId="1" xr16:uid="{00000000-0016-0000-0100-000008000000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removeDataOnSave="1" adjustColumnWidth="0" connectionId="1" xr16:uid="{00000000-0016-0000-0100-00000B000000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" removeDataOnSave="1" adjustColumnWidth="0" connectionId="1" xr16:uid="{00000000-0016-0000-0100-000010000000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removeDataOnSave="1" adjustColumnWidth="0" connectionId="1" xr16:uid="{00000000-0016-0000-0100-000018000000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" removeDataOnSave="1" adjustColumnWidth="0" connectionId="1" xr16:uid="{00000000-0016-0000-0100-00001D000000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moveDataOnSave="1" adjustColumnWidth="0" connectionId="1" xr16:uid="{00000000-0016-0000-0100-000022000000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" removeDataOnSave="1" adjustColumnWidth="0" connectionId="1" xr16:uid="{00000000-0016-0000-0100-000007000000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removeDataOnSave="1" adjustColumnWidth="0" connectionId="1" xr16:uid="{00000000-0016-0000-0100-000013000000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removeDataOnSave="1" adjustColumnWidth="0" connectionId="1" xr16:uid="{00000000-0016-0000-0100-00001C000000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removeDataOnSave="1" adjustColumnWidth="0" connectionId="1" xr16:uid="{00000000-0016-0000-0100-000002000000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removeDataOnSave="1" adjustColumnWidth="0" connectionId="1" xr16:uid="{00000000-0016-0000-0100-00000A000000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" removeDataOnSave="1" adjustColumnWidth="0" connectionId="1" xr16:uid="{00000000-0016-0000-0100-00000F000000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" removeDataOnSave="1" adjustColumnWidth="0" connectionId="1" xr16:uid="{00000000-0016-0000-0100-000017000000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" removeDataOnSave="1" adjustColumnWidth="0" connectionId="1" xr16:uid="{00000000-0016-0000-0100-000021000000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" removeDataOnSave="1" adjustColumnWidth="0" connectionId="1" xr16:uid="{00000000-0016-0000-0100-000001000000}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removeDataOnSave="1" adjustColumnWidth="0" connectionId="1" xr16:uid="{00000000-0016-0000-0100-000006000000}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" removeDataOnSave="1" adjustColumnWidth="0" connectionId="1" xr16:uid="{00000000-0016-0000-0100-00000E000000}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removeDataOnSave="1" adjustColumnWidth="0" connectionId="4" xr16:uid="{00000000-0016-0000-0100-00001B000000}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removeDataOnSave="1" adjustColumnWidth="0" connectionId="1" xr16:uid="{00000000-0016-0000-0100-000020000000}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" removeDataOnSave="1" adjustColumnWidth="0" connectionId="1" xr16:uid="{00000000-0016-0000-0100-000025000000}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removeDataOnSave="1" adjustColumnWidth="0" connectionId="1" xr16:uid="{00000000-0016-0000-0100-000009000000}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removeDataOnSave="1" adjustColumnWidth="0" connectionId="1" xr16:uid="{00000000-0016-0000-0100-000012000000}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" removeDataOnSave="1" adjustColumnWidth="0" connectionId="1" xr16:uid="{00000000-0016-0000-0100-000016000000}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" removeDataOnSave="1" adjustColumnWidth="0" connectionId="1" xr16:uid="{00000000-0016-0000-0100-000024000000}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" removeDataOnSave="1" adjustColumnWidth="0" connectionId="1" xr16:uid="{00000000-0016-0000-0100-000000000000}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" removeDataOnSave="1" adjustColumnWidth="0" connectionId="1" xr16:uid="{00000000-0016-0000-0100-000005000000}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" removeDataOnSave="1" adjustColumnWidth="0" connectionId="1" xr16:uid="{00000000-0016-0000-0100-00000D000000}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removeDataOnSave="1" adjustColumnWidth="0" connectionId="2" xr16:uid="{00000000-0016-0000-0100-000015000000}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" removeDataOnSave="1" adjustColumnWidth="0" connectionId="1" xr16:uid="{00000000-0016-0000-0100-00001A000000}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removeDataOnSave="1" adjustColumnWidth="0" connectionId="1" xr16:uid="{00000000-0016-0000-0100-00001F000000}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removeDataOnSave="1" adjustColumnWidth="0" connectionId="5" xr16:uid="{00000000-0016-0000-0100-000004000000}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" removeDataOnSave="1" adjustColumnWidth="0" connectionId="1" xr16:uid="{00000000-0016-0000-0100-000011000000}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removeDataOnSave="1" adjustColumnWidth="0" connectionId="1" xr16:uid="{00000000-0016-0000-0100-00000C000000}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" removeDataOnSave="1" adjustColumnWidth="0" connectionId="1" xr16:uid="{00000000-0016-0000-0100-000014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26" Type="http://schemas.openxmlformats.org/officeDocument/2006/relationships/queryTable" Target="../queryTables/queryTable26.xml"/><Relationship Id="rId21" Type="http://schemas.openxmlformats.org/officeDocument/2006/relationships/queryTable" Target="../queryTables/queryTable21.xml"/><Relationship Id="rId34" Type="http://schemas.openxmlformats.org/officeDocument/2006/relationships/queryTable" Target="../queryTables/queryTable34.xml"/><Relationship Id="rId7" Type="http://schemas.openxmlformats.org/officeDocument/2006/relationships/queryTable" Target="../queryTables/queryTable7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5" Type="http://schemas.openxmlformats.org/officeDocument/2006/relationships/queryTable" Target="../queryTables/queryTable25.xml"/><Relationship Id="rId33" Type="http://schemas.openxmlformats.org/officeDocument/2006/relationships/queryTable" Target="../queryTables/queryTable33.xml"/><Relationship Id="rId38" Type="http://schemas.openxmlformats.org/officeDocument/2006/relationships/queryTable" Target="../queryTables/queryTable38.xml"/><Relationship Id="rId2" Type="http://schemas.openxmlformats.org/officeDocument/2006/relationships/queryTable" Target="../queryTables/queryTable2.xml"/><Relationship Id="rId16" Type="http://schemas.openxmlformats.org/officeDocument/2006/relationships/queryTable" Target="../queryTables/queryTable16.xml"/><Relationship Id="rId20" Type="http://schemas.openxmlformats.org/officeDocument/2006/relationships/queryTable" Target="../queryTables/queryTable20.xml"/><Relationship Id="rId29" Type="http://schemas.openxmlformats.org/officeDocument/2006/relationships/queryTable" Target="../queryTables/queryTable29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24" Type="http://schemas.openxmlformats.org/officeDocument/2006/relationships/queryTable" Target="../queryTables/queryTable24.xml"/><Relationship Id="rId32" Type="http://schemas.openxmlformats.org/officeDocument/2006/relationships/queryTable" Target="../queryTables/queryTable32.xml"/><Relationship Id="rId37" Type="http://schemas.openxmlformats.org/officeDocument/2006/relationships/queryTable" Target="../queryTables/queryTable37.xml"/><Relationship Id="rId5" Type="http://schemas.openxmlformats.org/officeDocument/2006/relationships/queryTable" Target="../queryTables/queryTable5.xml"/><Relationship Id="rId15" Type="http://schemas.openxmlformats.org/officeDocument/2006/relationships/queryTable" Target="../queryTables/queryTable15.xml"/><Relationship Id="rId23" Type="http://schemas.openxmlformats.org/officeDocument/2006/relationships/queryTable" Target="../queryTables/queryTable23.xml"/><Relationship Id="rId28" Type="http://schemas.openxmlformats.org/officeDocument/2006/relationships/queryTable" Target="../queryTables/queryTable28.xml"/><Relationship Id="rId36" Type="http://schemas.openxmlformats.org/officeDocument/2006/relationships/queryTable" Target="../queryTables/queryTable36.xml"/><Relationship Id="rId10" Type="http://schemas.openxmlformats.org/officeDocument/2006/relationships/queryTable" Target="../queryTables/queryTable10.xml"/><Relationship Id="rId19" Type="http://schemas.openxmlformats.org/officeDocument/2006/relationships/queryTable" Target="../queryTables/queryTable19.xml"/><Relationship Id="rId31" Type="http://schemas.openxmlformats.org/officeDocument/2006/relationships/queryTable" Target="../queryTables/queryTable31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4" Type="http://schemas.openxmlformats.org/officeDocument/2006/relationships/queryTable" Target="../queryTables/queryTable14.xml"/><Relationship Id="rId22" Type="http://schemas.openxmlformats.org/officeDocument/2006/relationships/queryTable" Target="../queryTables/queryTable22.xml"/><Relationship Id="rId27" Type="http://schemas.openxmlformats.org/officeDocument/2006/relationships/queryTable" Target="../queryTables/queryTable27.xml"/><Relationship Id="rId30" Type="http://schemas.openxmlformats.org/officeDocument/2006/relationships/queryTable" Target="../queryTables/queryTable30.xml"/><Relationship Id="rId35" Type="http://schemas.openxmlformats.org/officeDocument/2006/relationships/queryTable" Target="../queryTables/queryTable35.xml"/><Relationship Id="rId8" Type="http://schemas.openxmlformats.org/officeDocument/2006/relationships/queryTable" Target="../queryTables/queryTable8.xml"/><Relationship Id="rId3" Type="http://schemas.openxmlformats.org/officeDocument/2006/relationships/queryTable" Target="../queryTables/query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H25"/>
  <sheetViews>
    <sheetView showGridLines="0" workbookViewId="0">
      <selection activeCell="F9" sqref="F9"/>
    </sheetView>
  </sheetViews>
  <sheetFormatPr defaultRowHeight="14.4" x14ac:dyDescent="0.3"/>
  <cols>
    <col min="1" max="1" width="4.33203125" customWidth="1"/>
    <col min="2" max="4" width="11.33203125" customWidth="1"/>
  </cols>
  <sheetData>
    <row r="2" spans="2:8" ht="38.4" x14ac:dyDescent="0.85">
      <c r="B2" s="47" t="s">
        <v>74</v>
      </c>
      <c r="C2" s="47"/>
      <c r="D2" s="47"/>
      <c r="E2" s="47"/>
      <c r="F2" s="47"/>
      <c r="G2" s="47"/>
      <c r="H2" s="47"/>
    </row>
    <row r="9" spans="2:8" ht="29.4" x14ac:dyDescent="0.65">
      <c r="B9" s="19" t="s">
        <v>45</v>
      </c>
      <c r="C9" s="20"/>
      <c r="D9" s="20"/>
      <c r="E9" s="20"/>
      <c r="F9" s="20"/>
      <c r="G9" s="20"/>
      <c r="H9" s="21"/>
    </row>
    <row r="12" spans="2:8" ht="18" x14ac:dyDescent="0.35">
      <c r="B12" s="48" t="s">
        <v>0</v>
      </c>
      <c r="C12" s="48"/>
      <c r="D12" s="48"/>
      <c r="E12" s="48"/>
      <c r="F12" s="48"/>
      <c r="G12" s="48"/>
      <c r="H12" s="48"/>
    </row>
    <row r="13" spans="2:8" ht="15" customHeight="1" x14ac:dyDescent="0.3">
      <c r="B13" s="50"/>
      <c r="C13" s="50"/>
      <c r="D13" s="50"/>
      <c r="E13" s="50"/>
      <c r="F13" s="50"/>
      <c r="G13" s="50"/>
      <c r="H13" s="50"/>
    </row>
    <row r="14" spans="2:8" x14ac:dyDescent="0.3">
      <c r="B14" s="18"/>
      <c r="C14" s="18"/>
      <c r="D14" s="18"/>
      <c r="E14" s="18"/>
      <c r="F14" s="18"/>
      <c r="G14" s="18"/>
      <c r="H14" s="18"/>
    </row>
    <row r="15" spans="2:8" ht="18" x14ac:dyDescent="0.35">
      <c r="B15" s="48" t="s">
        <v>76</v>
      </c>
      <c r="C15" s="48"/>
      <c r="D15" s="48"/>
      <c r="E15" s="48"/>
      <c r="F15" s="48"/>
      <c r="G15" s="48"/>
      <c r="H15" s="48"/>
    </row>
    <row r="16" spans="2:8" ht="15" customHeight="1" x14ac:dyDescent="0.3">
      <c r="B16" s="50"/>
      <c r="C16" s="50"/>
      <c r="D16" s="50"/>
      <c r="E16" s="50"/>
      <c r="F16" s="50"/>
      <c r="G16" s="50"/>
      <c r="H16" s="50"/>
    </row>
    <row r="17" spans="2:8" x14ac:dyDescent="0.3">
      <c r="B17" s="18"/>
      <c r="C17" s="18"/>
      <c r="D17" s="18"/>
      <c r="E17" s="18"/>
      <c r="F17" s="18"/>
      <c r="G17" s="18"/>
      <c r="H17" s="18"/>
    </row>
    <row r="18" spans="2:8" ht="18" x14ac:dyDescent="0.35">
      <c r="B18" s="48" t="s">
        <v>1</v>
      </c>
      <c r="C18" s="48"/>
      <c r="D18" s="48"/>
      <c r="E18" s="48"/>
      <c r="F18" s="48"/>
      <c r="G18" s="48"/>
      <c r="H18" s="48"/>
    </row>
    <row r="19" spans="2:8" ht="15" customHeight="1" x14ac:dyDescent="0.3">
      <c r="B19" s="49"/>
      <c r="C19" s="49"/>
      <c r="D19" s="49"/>
      <c r="E19" s="49"/>
      <c r="F19" s="49"/>
      <c r="G19" s="49"/>
      <c r="H19" s="49"/>
    </row>
    <row r="20" spans="2:8" x14ac:dyDescent="0.3">
      <c r="B20" s="18"/>
      <c r="C20" s="18"/>
      <c r="D20" s="18"/>
      <c r="E20" s="18"/>
      <c r="F20" s="18"/>
      <c r="G20" s="18"/>
      <c r="H20" s="18"/>
    </row>
    <row r="21" spans="2:8" ht="18" x14ac:dyDescent="0.35">
      <c r="B21" s="48" t="s">
        <v>2</v>
      </c>
      <c r="C21" s="48"/>
      <c r="D21" s="48"/>
      <c r="E21" s="48"/>
      <c r="F21" s="48"/>
      <c r="G21" s="48"/>
      <c r="H21" s="48"/>
    </row>
    <row r="22" spans="2:8" ht="15" customHeight="1" x14ac:dyDescent="0.3">
      <c r="B22" s="49"/>
      <c r="C22" s="49"/>
      <c r="D22" s="49"/>
      <c r="E22" s="49"/>
      <c r="F22" s="49"/>
      <c r="G22" s="49"/>
      <c r="H22" s="49"/>
    </row>
    <row r="23" spans="2:8" x14ac:dyDescent="0.3">
      <c r="B23" s="18"/>
      <c r="C23" s="18"/>
      <c r="D23" s="18"/>
      <c r="E23" s="18"/>
      <c r="F23" s="18"/>
      <c r="G23" s="18"/>
      <c r="H23" s="18"/>
    </row>
    <row r="24" spans="2:8" ht="18" x14ac:dyDescent="0.35">
      <c r="B24" s="48" t="s">
        <v>44</v>
      </c>
      <c r="C24" s="48"/>
      <c r="D24" s="48"/>
      <c r="E24" s="48"/>
      <c r="F24" s="48"/>
      <c r="G24" s="48"/>
      <c r="H24" s="48"/>
    </row>
    <row r="25" spans="2:8" x14ac:dyDescent="0.3">
      <c r="B25" s="46"/>
      <c r="C25" s="46"/>
      <c r="D25" s="46"/>
      <c r="E25" s="46"/>
      <c r="F25" s="46"/>
      <c r="G25" s="46"/>
      <c r="H25" s="46"/>
    </row>
  </sheetData>
  <sheetProtection algorithmName="SHA-512" hashValue="AWxJkD9tOrP3YnHm8DcWixFTC2vdLDPuib+zG2J/v9cMFy5A02/FyWeG4vacYocq2bhx79r43z0Fmlae+la7CA==" saltValue="gO/9hH/lQeIexaGcCHb92g==" spinCount="100000" sheet="1" objects="1" scenarios="1"/>
  <mergeCells count="11">
    <mergeCell ref="B25:H25"/>
    <mergeCell ref="B2:H2"/>
    <mergeCell ref="B21:H21"/>
    <mergeCell ref="B22:H22"/>
    <mergeCell ref="B13:H13"/>
    <mergeCell ref="B12:H12"/>
    <mergeCell ref="B18:H18"/>
    <mergeCell ref="B24:H24"/>
    <mergeCell ref="B19:H19"/>
    <mergeCell ref="B15:H15"/>
    <mergeCell ref="B16:H16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C3"/>
  <sheetViews>
    <sheetView workbookViewId="0">
      <selection activeCell="B2" sqref="B2"/>
    </sheetView>
  </sheetViews>
  <sheetFormatPr defaultRowHeight="14.4" x14ac:dyDescent="0.3"/>
  <cols>
    <col min="1" max="1" width="15.6640625" bestFit="1" customWidth="1"/>
    <col min="2" max="2" width="16" customWidth="1"/>
    <col min="3" max="3" width="22" customWidth="1"/>
  </cols>
  <sheetData>
    <row r="1" spans="1:3" x14ac:dyDescent="0.3">
      <c r="A1" t="s">
        <v>80</v>
      </c>
      <c r="B1">
        <v>1.1000000000000001</v>
      </c>
    </row>
    <row r="3" spans="1:3" x14ac:dyDescent="0.3">
      <c r="A3" t="s">
        <v>77</v>
      </c>
      <c r="B3" t="s">
        <v>78</v>
      </c>
      <c r="C3" t="s">
        <v>79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2:I26"/>
  <sheetViews>
    <sheetView showGridLines="0" topLeftCell="A5" zoomScaleNormal="100" workbookViewId="0">
      <selection activeCell="B26" sqref="B26:I26"/>
    </sheetView>
  </sheetViews>
  <sheetFormatPr defaultRowHeight="14.4" x14ac:dyDescent="0.3"/>
  <cols>
    <col min="1" max="1" width="2.88671875" customWidth="1"/>
  </cols>
  <sheetData>
    <row r="2" spans="2:9" ht="29.4" x14ac:dyDescent="0.65">
      <c r="B2" s="51" t="s">
        <v>46</v>
      </c>
      <c r="C2" s="51"/>
      <c r="D2" s="51"/>
      <c r="E2" s="51"/>
      <c r="F2" s="51"/>
      <c r="G2" s="51"/>
      <c r="H2" s="51"/>
      <c r="I2" s="51"/>
    </row>
    <row r="4" spans="2:9" ht="21" x14ac:dyDescent="0.4">
      <c r="B4" s="22"/>
    </row>
    <row r="10" spans="2:9" ht="22.5" customHeight="1" x14ac:dyDescent="0.3">
      <c r="B10" s="52"/>
      <c r="C10" s="52"/>
      <c r="D10" s="52"/>
      <c r="E10" s="52"/>
      <c r="F10" s="52"/>
      <c r="G10" s="52"/>
      <c r="H10" s="52"/>
      <c r="I10" s="52"/>
    </row>
    <row r="11" spans="2:9" ht="22.5" customHeight="1" x14ac:dyDescent="0.3">
      <c r="B11" s="52"/>
      <c r="C11" s="52"/>
      <c r="D11" s="52"/>
      <c r="E11" s="52"/>
      <c r="F11" s="52"/>
      <c r="G11" s="52"/>
      <c r="H11" s="52"/>
      <c r="I11" s="52"/>
    </row>
    <row r="12" spans="2:9" ht="22.5" customHeight="1" x14ac:dyDescent="0.3">
      <c r="B12" s="52"/>
      <c r="C12" s="52"/>
      <c r="D12" s="52"/>
      <c r="E12" s="52"/>
      <c r="F12" s="52"/>
      <c r="G12" s="52"/>
      <c r="H12" s="52"/>
      <c r="I12" s="52"/>
    </row>
    <row r="17" spans="2:9" ht="22.5" customHeight="1" x14ac:dyDescent="0.3">
      <c r="B17" s="52"/>
      <c r="C17" s="52"/>
      <c r="D17" s="52"/>
      <c r="E17" s="52"/>
      <c r="F17" s="52"/>
      <c r="G17" s="52"/>
      <c r="H17" s="52"/>
      <c r="I17" s="52"/>
    </row>
    <row r="18" spans="2:9" ht="22.5" customHeight="1" x14ac:dyDescent="0.3">
      <c r="B18" s="52"/>
      <c r="C18" s="52"/>
      <c r="D18" s="52"/>
      <c r="E18" s="52"/>
      <c r="F18" s="52"/>
      <c r="G18" s="52"/>
      <c r="H18" s="52"/>
      <c r="I18" s="52"/>
    </row>
    <row r="23" spans="2:9" ht="22.5" customHeight="1" x14ac:dyDescent="0.3">
      <c r="B23" s="52" t="s">
        <v>84</v>
      </c>
      <c r="C23" s="52"/>
      <c r="D23" s="52"/>
      <c r="E23" s="52"/>
      <c r="F23" s="52"/>
      <c r="G23" s="52"/>
      <c r="H23" s="52"/>
      <c r="I23" s="52"/>
    </row>
    <row r="24" spans="2:9" ht="22.5" customHeight="1" x14ac:dyDescent="0.3">
      <c r="B24" s="52"/>
      <c r="C24" s="52"/>
      <c r="D24" s="52"/>
      <c r="E24" s="52"/>
      <c r="F24" s="52"/>
      <c r="G24" s="52"/>
      <c r="H24" s="52"/>
      <c r="I24" s="52"/>
    </row>
    <row r="26" spans="2:9" ht="24.75" customHeight="1" x14ac:dyDescent="0.3">
      <c r="B26" s="75" t="s">
        <v>85</v>
      </c>
      <c r="C26" s="75"/>
      <c r="D26" s="75"/>
      <c r="E26" s="75"/>
      <c r="F26" s="75"/>
      <c r="G26" s="75"/>
      <c r="H26" s="75"/>
      <c r="I26" s="75"/>
    </row>
  </sheetData>
  <sheetProtection algorithmName="SHA-512" hashValue="Q7nRLucbBw9y5bfDxBgFbIA3iu3Ld0893Ynd42GY51iNXnhNgHZok9l0PyAqElrnJEp4vW7gLMbRApDoXvqCjQ==" saltValue="4k0AxlpbAS6T2smAeVPLhQ==" spinCount="100000" sheet="1" objects="1" scenarios="1" formatCells="0"/>
  <mergeCells count="5">
    <mergeCell ref="B2:I2"/>
    <mergeCell ref="B10:I12"/>
    <mergeCell ref="B17:I18"/>
    <mergeCell ref="B23:I24"/>
    <mergeCell ref="B26:I26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2:G50"/>
  <sheetViews>
    <sheetView workbookViewId="0">
      <selection activeCell="B19" sqref="B19"/>
    </sheetView>
  </sheetViews>
  <sheetFormatPr defaultRowHeight="14.4" x14ac:dyDescent="0.3"/>
  <cols>
    <col min="1" max="1" width="20.33203125" customWidth="1"/>
    <col min="2" max="2" width="18.33203125" bestFit="1" customWidth="1"/>
    <col min="3" max="3" width="11.6640625" bestFit="1" customWidth="1"/>
    <col min="5" max="5" width="10.5546875" customWidth="1"/>
    <col min="6" max="6" width="18.5546875" bestFit="1" customWidth="1"/>
  </cols>
  <sheetData>
    <row r="2" spans="1:6" ht="18" x14ac:dyDescent="0.35">
      <c r="A2" s="53" t="s">
        <v>18</v>
      </c>
      <c r="B2" s="53"/>
    </row>
    <row r="3" spans="1:6" ht="16.2" x14ac:dyDescent="0.45">
      <c r="A3" s="16" t="s">
        <v>16</v>
      </c>
      <c r="B3" s="16" t="s">
        <v>17</v>
      </c>
      <c r="E3" s="54" t="s">
        <v>48</v>
      </c>
      <c r="F3" s="55"/>
    </row>
    <row r="4" spans="1:6" x14ac:dyDescent="0.3">
      <c r="A4" t="s">
        <v>22</v>
      </c>
      <c r="B4" s="4">
        <v>45007.648777662034</v>
      </c>
      <c r="E4" t="s">
        <v>30</v>
      </c>
      <c r="F4" t="s">
        <v>5</v>
      </c>
    </row>
    <row r="5" spans="1:6" x14ac:dyDescent="0.3">
      <c r="A5" t="s">
        <v>23</v>
      </c>
      <c r="B5" s="4">
        <v>45007.650883449074</v>
      </c>
      <c r="E5" t="s">
        <v>30</v>
      </c>
      <c r="F5" t="s">
        <v>6</v>
      </c>
    </row>
    <row r="6" spans="1:6" x14ac:dyDescent="0.3">
      <c r="A6" t="s">
        <v>25</v>
      </c>
      <c r="B6" s="7">
        <v>45007.651040972225</v>
      </c>
      <c r="E6" t="s">
        <v>30</v>
      </c>
      <c r="F6" t="s">
        <v>7</v>
      </c>
    </row>
    <row r="7" spans="1:6" x14ac:dyDescent="0.3">
      <c r="A7" t="s">
        <v>26</v>
      </c>
      <c r="B7" s="7">
        <v>45007.651571875002</v>
      </c>
      <c r="E7" t="s">
        <v>30</v>
      </c>
      <c r="F7" t="s">
        <v>8</v>
      </c>
    </row>
    <row r="8" spans="1:6" x14ac:dyDescent="0.3">
      <c r="A8" t="s">
        <v>83</v>
      </c>
      <c r="B8" s="7" t="s">
        <v>64</v>
      </c>
      <c r="E8" t="s">
        <v>30</v>
      </c>
      <c r="F8" t="s">
        <v>9</v>
      </c>
    </row>
    <row r="9" spans="1:6" x14ac:dyDescent="0.3">
      <c r="A9" t="s">
        <v>27</v>
      </c>
      <c r="B9" s="7">
        <v>45007.651695023145</v>
      </c>
      <c r="E9" t="s">
        <v>30</v>
      </c>
      <c r="F9" t="s">
        <v>10</v>
      </c>
    </row>
    <row r="10" spans="1:6" x14ac:dyDescent="0.3">
      <c r="A10" t="s">
        <v>28</v>
      </c>
      <c r="B10" s="7">
        <v>45007.653228356481</v>
      </c>
      <c r="E10" t="s">
        <v>30</v>
      </c>
      <c r="F10" t="s">
        <v>11</v>
      </c>
    </row>
    <row r="11" spans="1:6" x14ac:dyDescent="0.3">
      <c r="A11" t="s">
        <v>29</v>
      </c>
      <c r="B11" s="7" t="s">
        <v>105</v>
      </c>
      <c r="E11" t="s">
        <v>30</v>
      </c>
      <c r="F11" t="s">
        <v>12</v>
      </c>
    </row>
    <row r="12" spans="1:6" x14ac:dyDescent="0.3">
      <c r="A12" t="s">
        <v>31</v>
      </c>
      <c r="B12" s="7">
        <v>45007.872608796293</v>
      </c>
      <c r="E12" t="s">
        <v>30</v>
      </c>
      <c r="F12" t="s">
        <v>13</v>
      </c>
    </row>
    <row r="13" spans="1:6" x14ac:dyDescent="0.3">
      <c r="A13" t="s">
        <v>32</v>
      </c>
      <c r="B13" s="7">
        <v>45009.920974421293</v>
      </c>
      <c r="E13" t="s">
        <v>30</v>
      </c>
      <c r="F13" t="s">
        <v>14</v>
      </c>
    </row>
    <row r="14" spans="1:6" x14ac:dyDescent="0.3">
      <c r="A14" t="s">
        <v>36</v>
      </c>
      <c r="B14" s="7" t="s">
        <v>105</v>
      </c>
      <c r="E14" t="s">
        <v>30</v>
      </c>
      <c r="F14" t="s">
        <v>15</v>
      </c>
    </row>
    <row r="15" spans="1:6" x14ac:dyDescent="0.3">
      <c r="A15" t="s">
        <v>33</v>
      </c>
      <c r="B15" s="7">
        <v>45009.921379629632</v>
      </c>
      <c r="E15" t="s">
        <v>30</v>
      </c>
      <c r="F15" t="s">
        <v>19</v>
      </c>
    </row>
    <row r="16" spans="1:6" x14ac:dyDescent="0.3">
      <c r="A16" t="s">
        <v>34</v>
      </c>
      <c r="B16" s="7">
        <v>45009.92379872685</v>
      </c>
      <c r="E16" t="s">
        <v>30</v>
      </c>
      <c r="F16" t="s">
        <v>20</v>
      </c>
    </row>
    <row r="17" spans="1:7" x14ac:dyDescent="0.3">
      <c r="A17" t="s">
        <v>35</v>
      </c>
      <c r="B17" s="7" t="s">
        <v>105</v>
      </c>
      <c r="E17" t="s">
        <v>30</v>
      </c>
      <c r="F17" t="s">
        <v>21</v>
      </c>
    </row>
    <row r="18" spans="1:7" x14ac:dyDescent="0.3">
      <c r="A18" t="s">
        <v>37</v>
      </c>
      <c r="B18" s="7">
        <v>45009.92391863426</v>
      </c>
      <c r="E18" t="s">
        <v>30</v>
      </c>
      <c r="F18" t="s">
        <v>24</v>
      </c>
    </row>
    <row r="19" spans="1:7" x14ac:dyDescent="0.3">
      <c r="A19" t="s">
        <v>38</v>
      </c>
      <c r="B19" s="7">
        <v>45009.92613576389</v>
      </c>
    </row>
    <row r="20" spans="1:7" x14ac:dyDescent="0.3">
      <c r="A20" t="s">
        <v>39</v>
      </c>
      <c r="B20" t="s">
        <v>105</v>
      </c>
    </row>
    <row r="21" spans="1:7" x14ac:dyDescent="0.3">
      <c r="A21" s="33"/>
      <c r="B21" s="33"/>
    </row>
    <row r="22" spans="1:7" x14ac:dyDescent="0.3">
      <c r="A22" s="33"/>
      <c r="B22" s="33"/>
    </row>
    <row r="23" spans="1:7" x14ac:dyDescent="0.3">
      <c r="A23" s="34" t="s">
        <v>63</v>
      </c>
      <c r="B23" s="34"/>
    </row>
    <row r="24" spans="1:7" ht="25.8" x14ac:dyDescent="0.5">
      <c r="A24" s="35" t="s">
        <v>55</v>
      </c>
      <c r="B24" s="36" t="str">
        <f>TEXT(B5-B4,"hh:mm:ss")</f>
        <v>00:03:02</v>
      </c>
      <c r="C24" s="38" t="s">
        <v>75</v>
      </c>
      <c r="D24" s="39"/>
      <c r="E24" s="39"/>
      <c r="F24" s="39"/>
      <c r="G24" s="39"/>
    </row>
    <row r="25" spans="1:7" x14ac:dyDescent="0.3">
      <c r="A25" s="35" t="s">
        <v>56</v>
      </c>
      <c r="B25" s="36" t="str">
        <f>TEXT(B7-B6,"hh:mm:ss")</f>
        <v>00:00:46</v>
      </c>
    </row>
    <row r="26" spans="1:7" x14ac:dyDescent="0.3">
      <c r="A26" s="35" t="s">
        <v>57</v>
      </c>
      <c r="B26" s="36" t="str">
        <f>TEXT(B10-B9,"hh:mm:ss")</f>
        <v>00:02:12</v>
      </c>
    </row>
    <row r="27" spans="1:7" x14ac:dyDescent="0.3">
      <c r="A27" s="35" t="s">
        <v>58</v>
      </c>
      <c r="B27" s="36" t="str">
        <f>TEXT(B13-B12,"hh:mm:ss")</f>
        <v>01:09:39</v>
      </c>
    </row>
    <row r="28" spans="1:7" x14ac:dyDescent="0.3">
      <c r="A28" s="35" t="s">
        <v>59</v>
      </c>
      <c r="B28" s="36" t="str">
        <f>TEXT(B16-B15,"hh:mm:ss")</f>
        <v>00:03:29</v>
      </c>
    </row>
    <row r="29" spans="1:7" x14ac:dyDescent="0.3">
      <c r="A29" s="35" t="s">
        <v>60</v>
      </c>
      <c r="B29" s="36" t="str">
        <f>TEXT(B19-B18,"hh:mm:ss")</f>
        <v>00:03:12</v>
      </c>
    </row>
    <row r="30" spans="1:7" x14ac:dyDescent="0.3">
      <c r="A30" s="35" t="s">
        <v>68</v>
      </c>
      <c r="B30" s="36" t="str">
        <f>TEXT(B24+B25+B26+B27+B28+B29,"hh:mm:ss")</f>
        <v>01:22:20</v>
      </c>
    </row>
    <row r="31" spans="1:7" x14ac:dyDescent="0.3">
      <c r="A31" s="35" t="s">
        <v>61</v>
      </c>
      <c r="B31" s="35">
        <v>1</v>
      </c>
    </row>
    <row r="32" spans="1:7" x14ac:dyDescent="0.3">
      <c r="A32" s="35" t="s">
        <v>62</v>
      </c>
      <c r="B32" s="35">
        <f>IF(B8="Yes",1,0)</f>
        <v>1</v>
      </c>
    </row>
    <row r="33" spans="1:2" x14ac:dyDescent="0.3">
      <c r="A33" s="35" t="s">
        <v>51</v>
      </c>
      <c r="B33" s="35">
        <f>IF(B11="Yes",1,0)</f>
        <v>0</v>
      </c>
    </row>
    <row r="34" spans="1:2" x14ac:dyDescent="0.3">
      <c r="A34" s="35" t="s">
        <v>52</v>
      </c>
      <c r="B34" s="35">
        <f>IF(B14="Yes",1,0)</f>
        <v>0</v>
      </c>
    </row>
    <row r="35" spans="1:2" x14ac:dyDescent="0.3">
      <c r="A35" s="35" t="s">
        <v>53</v>
      </c>
      <c r="B35" s="35">
        <f>IF(B17="Yes",1,0)</f>
        <v>0</v>
      </c>
    </row>
    <row r="36" spans="1:2" x14ac:dyDescent="0.3">
      <c r="A36" s="35" t="s">
        <v>54</v>
      </c>
      <c r="B36" s="35">
        <f>IF(B20="Yes",1,0)</f>
        <v>0</v>
      </c>
    </row>
    <row r="37" spans="1:2" x14ac:dyDescent="0.3">
      <c r="A37" s="35" t="s">
        <v>67</v>
      </c>
      <c r="B37" s="35">
        <v>93682</v>
      </c>
    </row>
    <row r="38" spans="1:2" x14ac:dyDescent="0.3">
      <c r="A38" s="35" t="s">
        <v>65</v>
      </c>
      <c r="B38" s="37">
        <v>45009.926134259258</v>
      </c>
    </row>
    <row r="39" spans="1:2" x14ac:dyDescent="0.3">
      <c r="A39" s="35" t="s">
        <v>66</v>
      </c>
      <c r="B39" s="37"/>
    </row>
    <row r="40" spans="1:2" x14ac:dyDescent="0.3">
      <c r="A40" s="45"/>
      <c r="B40" s="45"/>
    </row>
    <row r="41" spans="1:2" x14ac:dyDescent="0.3">
      <c r="A41" s="45"/>
      <c r="B41" s="45"/>
    </row>
    <row r="42" spans="1:2" x14ac:dyDescent="0.3">
      <c r="A42" s="45"/>
      <c r="B42" s="45"/>
    </row>
    <row r="43" spans="1:2" x14ac:dyDescent="0.3">
      <c r="A43" s="45"/>
      <c r="B43" s="45"/>
    </row>
    <row r="44" spans="1:2" x14ac:dyDescent="0.3">
      <c r="A44" s="45"/>
      <c r="B44" s="45"/>
    </row>
    <row r="45" spans="1:2" x14ac:dyDescent="0.3">
      <c r="A45" s="45"/>
      <c r="B45" s="45"/>
    </row>
    <row r="46" spans="1:2" x14ac:dyDescent="0.3">
      <c r="A46" s="45"/>
      <c r="B46" s="45"/>
    </row>
    <row r="47" spans="1:2" x14ac:dyDescent="0.3">
      <c r="A47" s="44"/>
      <c r="B47" s="44"/>
    </row>
    <row r="48" spans="1:2" x14ac:dyDescent="0.3">
      <c r="A48" s="44"/>
      <c r="B48" s="44"/>
    </row>
    <row r="49" spans="1:2" x14ac:dyDescent="0.3">
      <c r="A49" s="44"/>
      <c r="B49" s="44"/>
    </row>
    <row r="50" spans="1:2" x14ac:dyDescent="0.3">
      <c r="A50" s="44"/>
      <c r="B50" s="44"/>
    </row>
  </sheetData>
  <sheetProtection algorithmName="SHA-512" hashValue="zhK1o+yYCF6ojiy6FH8nj9xBmSLidAIp+SYy0ePIkl3r0kyXlE+VAvBePeGuuZ/9lfG3uprK9pkBIpjJRFHstA==" saltValue="my30GaE8tanPJWvLWyOQog==" spinCount="100000" sheet="1" objects="1" scenarios="1"/>
  <mergeCells count="2">
    <mergeCell ref="A2:B2"/>
    <mergeCell ref="E3:F3"/>
  </mergeCells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IL6819"/>
  <sheetViews>
    <sheetView showGridLines="0" topLeftCell="A52" zoomScaleNormal="100" workbookViewId="0">
      <selection activeCell="K58" sqref="K58"/>
    </sheetView>
  </sheetViews>
  <sheetFormatPr defaultRowHeight="14.4" x14ac:dyDescent="0.3"/>
  <cols>
    <col min="1" max="1" width="8" customWidth="1"/>
    <col min="2" max="8" width="10.88671875" customWidth="1"/>
    <col min="82" max="82" width="14.44140625" customWidth="1"/>
    <col min="136" max="136" width="10.44140625" customWidth="1"/>
    <col min="204" max="204" width="31.44140625" customWidth="1"/>
  </cols>
  <sheetData>
    <row r="1" spans="1:81" ht="42" customHeight="1" x14ac:dyDescent="0.3">
      <c r="A1" s="6" t="s">
        <v>96</v>
      </c>
    </row>
    <row r="2" spans="1:81" ht="27" x14ac:dyDescent="0.6">
      <c r="B2" s="60" t="s">
        <v>4</v>
      </c>
      <c r="C2" s="60"/>
      <c r="D2" s="60"/>
      <c r="E2" s="60"/>
      <c r="F2" s="60"/>
      <c r="G2" s="60"/>
      <c r="H2" s="60"/>
    </row>
    <row r="4" spans="1:81" x14ac:dyDescent="0.3">
      <c r="B4" s="1" t="s">
        <v>3</v>
      </c>
    </row>
    <row r="6" spans="1:81" ht="25.5" customHeight="1" x14ac:dyDescent="0.3"/>
    <row r="8" spans="1:81" ht="15" customHeight="1" x14ac:dyDescent="0.3">
      <c r="B8" s="57" t="s">
        <v>86</v>
      </c>
      <c r="C8" s="57"/>
      <c r="D8" s="57"/>
      <c r="CA8" s="59" t="s">
        <v>87</v>
      </c>
      <c r="CB8" s="59"/>
      <c r="CC8" s="59"/>
    </row>
    <row r="9" spans="1:81" x14ac:dyDescent="0.3">
      <c r="CA9" s="59"/>
      <c r="CB9" s="59"/>
      <c r="CC9" s="59"/>
    </row>
    <row r="14" spans="1:81" x14ac:dyDescent="0.3">
      <c r="CA14" s="57" t="s">
        <v>88</v>
      </c>
      <c r="CB14" s="57"/>
      <c r="CC14" s="57"/>
    </row>
    <row r="18" spans="2:8" ht="27" x14ac:dyDescent="0.6">
      <c r="B18" s="60" t="s">
        <v>98</v>
      </c>
      <c r="C18" s="77"/>
      <c r="D18" s="77"/>
      <c r="E18" s="77"/>
      <c r="F18" s="77"/>
      <c r="G18" s="77"/>
      <c r="H18" s="77"/>
    </row>
    <row r="20" spans="2:8" x14ac:dyDescent="0.3">
      <c r="B20" s="58" t="s">
        <v>99</v>
      </c>
      <c r="C20" s="58"/>
      <c r="D20" s="58"/>
      <c r="E20" s="58"/>
      <c r="F20" s="58"/>
      <c r="G20" s="58"/>
      <c r="H20" s="58"/>
    </row>
    <row r="21" spans="2:8" x14ac:dyDescent="0.3">
      <c r="B21" s="58"/>
      <c r="C21" s="58"/>
      <c r="D21" s="58"/>
      <c r="E21" s="58"/>
      <c r="F21" s="58"/>
      <c r="G21" s="58"/>
      <c r="H21" s="58"/>
    </row>
    <row r="26" spans="2:8" x14ac:dyDescent="0.3">
      <c r="B26" s="57" t="s">
        <v>100</v>
      </c>
      <c r="C26" s="57"/>
      <c r="D26" s="57"/>
      <c r="F26" s="3" t="s">
        <v>102</v>
      </c>
      <c r="G26" s="3" t="s">
        <v>103</v>
      </c>
      <c r="H26" s="3" t="s">
        <v>104</v>
      </c>
    </row>
    <row r="27" spans="2:8" x14ac:dyDescent="0.3">
      <c r="B27" s="78"/>
      <c r="C27" s="79" t="s">
        <v>101</v>
      </c>
      <c r="D27" s="79" t="s">
        <v>101</v>
      </c>
      <c r="F27" s="80">
        <v>11.25</v>
      </c>
      <c r="G27" s="80">
        <v>33.680000305175781</v>
      </c>
      <c r="H27" s="80">
        <v>39.830001831054688</v>
      </c>
    </row>
    <row r="28" spans="2:8" x14ac:dyDescent="0.3">
      <c r="B28" s="78"/>
      <c r="C28" s="79" t="s">
        <v>101</v>
      </c>
      <c r="D28" s="79" t="s">
        <v>101</v>
      </c>
      <c r="F28" s="80">
        <v>68.269996643066406</v>
      </c>
      <c r="G28" s="80">
        <v>9.5200004577636719</v>
      </c>
      <c r="H28" s="80">
        <v>12.319999694824219</v>
      </c>
    </row>
    <row r="29" spans="2:8" x14ac:dyDescent="0.3">
      <c r="B29" s="78"/>
      <c r="C29" s="78"/>
      <c r="D29" s="79" t="s">
        <v>101</v>
      </c>
      <c r="F29" s="80">
        <v>30.479999542236328</v>
      </c>
      <c r="G29" s="80">
        <v>49.450000762939453</v>
      </c>
      <c r="H29" s="80">
        <v>39.430000305175781</v>
      </c>
    </row>
    <row r="30" spans="2:8" x14ac:dyDescent="0.3">
      <c r="B30" s="79" t="s">
        <v>101</v>
      </c>
      <c r="C30" s="79" t="s">
        <v>101</v>
      </c>
      <c r="D30" s="78"/>
      <c r="F30" s="80">
        <v>96.040000915527344</v>
      </c>
      <c r="G30" s="80">
        <v>26.209999084472656</v>
      </c>
      <c r="H30" s="80">
        <v>62.259998321533203</v>
      </c>
    </row>
    <row r="31" spans="2:8" x14ac:dyDescent="0.3">
      <c r="B31" s="79" t="s">
        <v>101</v>
      </c>
      <c r="C31" s="78"/>
      <c r="D31" s="79" t="s">
        <v>101</v>
      </c>
      <c r="F31" s="80">
        <v>0.97000002861022949</v>
      </c>
      <c r="G31" s="80">
        <v>37.950000762939453</v>
      </c>
      <c r="H31" s="80">
        <v>27.010000228881836</v>
      </c>
    </row>
    <row r="32" spans="2:8" x14ac:dyDescent="0.3">
      <c r="B32" s="79" t="s">
        <v>101</v>
      </c>
      <c r="C32" s="79" t="s">
        <v>101</v>
      </c>
      <c r="D32" s="79" t="s">
        <v>101</v>
      </c>
      <c r="F32" s="80">
        <v>6.7199997901916504</v>
      </c>
      <c r="G32" s="80">
        <v>67.599998474121094</v>
      </c>
      <c r="H32" s="80">
        <v>84.949996948242188</v>
      </c>
    </row>
    <row r="33" spans="2:8" x14ac:dyDescent="0.3">
      <c r="B33" s="79" t="s">
        <v>101</v>
      </c>
      <c r="C33" s="79" t="s">
        <v>101</v>
      </c>
      <c r="D33" s="78"/>
      <c r="F33" s="80">
        <v>86.019996643066406</v>
      </c>
      <c r="G33" s="80">
        <v>82.819999694824219</v>
      </c>
      <c r="H33" s="80">
        <v>92.430000305175781</v>
      </c>
    </row>
    <row r="34" spans="2:8" x14ac:dyDescent="0.3">
      <c r="B34" s="79" t="s">
        <v>101</v>
      </c>
      <c r="C34" s="79" t="s">
        <v>101</v>
      </c>
      <c r="D34" s="79" t="s">
        <v>101</v>
      </c>
      <c r="F34" s="81">
        <v>63.590000152587891</v>
      </c>
      <c r="G34" s="80">
        <v>50.110000610351563</v>
      </c>
      <c r="H34" s="80">
        <v>63.990001678466797</v>
      </c>
    </row>
    <row r="35" spans="2:8" x14ac:dyDescent="0.3">
      <c r="B35" s="79" t="s">
        <v>101</v>
      </c>
      <c r="C35" s="79" t="s">
        <v>101</v>
      </c>
      <c r="D35" s="78"/>
      <c r="F35" s="80">
        <v>22.340000152587891</v>
      </c>
      <c r="G35" s="80">
        <v>47.310001373291016</v>
      </c>
      <c r="H35" s="80">
        <v>45.840000152587891</v>
      </c>
    </row>
    <row r="36" spans="2:8" x14ac:dyDescent="0.3">
      <c r="B36" s="79" t="s">
        <v>101</v>
      </c>
      <c r="C36" s="78"/>
      <c r="D36" s="78"/>
      <c r="F36" s="82">
        <f>SUM(F28:F35)</f>
        <v>374.42999386787415</v>
      </c>
      <c r="G36" s="79">
        <f>COUNT(G28:G35)</f>
        <v>8</v>
      </c>
      <c r="H36" s="79">
        <f>AVERAGE(H28:H35)</f>
        <v>53.528749704360962</v>
      </c>
    </row>
    <row r="39" spans="2:8" x14ac:dyDescent="0.3">
      <c r="B39" s="56" t="s">
        <v>106</v>
      </c>
      <c r="C39" s="56"/>
      <c r="D39" s="56"/>
      <c r="F39" s="57" t="s">
        <v>110</v>
      </c>
      <c r="G39" s="57"/>
      <c r="H39" s="57"/>
    </row>
    <row r="40" spans="2:8" x14ac:dyDescent="0.3">
      <c r="B40" s="9" t="s">
        <v>107</v>
      </c>
      <c r="C40" s="9" t="s">
        <v>108</v>
      </c>
      <c r="D40" s="9" t="s">
        <v>109</v>
      </c>
      <c r="F40" s="9" t="s">
        <v>111</v>
      </c>
      <c r="G40" s="9" t="s">
        <v>112</v>
      </c>
      <c r="H40" s="9" t="s">
        <v>113</v>
      </c>
    </row>
    <row r="41" spans="2:8" x14ac:dyDescent="0.3">
      <c r="B41" s="85">
        <v>2312.97998046875</v>
      </c>
      <c r="C41" s="86">
        <v>2666.60009765625</v>
      </c>
      <c r="D41" s="87">
        <v>0.5899999737739563</v>
      </c>
      <c r="F41" s="83">
        <f>$F$36</f>
        <v>374.42999386787415</v>
      </c>
      <c r="G41" s="83">
        <f>$G36</f>
        <v>8</v>
      </c>
      <c r="H41" s="83">
        <f>H$36</f>
        <v>53.528749704360962</v>
      </c>
    </row>
    <row r="42" spans="2:8" x14ac:dyDescent="0.3">
      <c r="B42" s="88">
        <v>2132.530029296875</v>
      </c>
      <c r="C42" s="86">
        <v>4535.830078125</v>
      </c>
      <c r="D42" s="87">
        <v>0.20000000298023224</v>
      </c>
      <c r="F42" s="83">
        <f t="shared" ref="F42:F50" si="0">$F$36</f>
        <v>374.42999386787415</v>
      </c>
      <c r="G42" s="83">
        <f t="shared" ref="G42:G50" si="1">$G37</f>
        <v>0</v>
      </c>
      <c r="H42" s="83">
        <f>H36</f>
        <v>53.528749704360962</v>
      </c>
    </row>
    <row r="43" spans="2:8" x14ac:dyDescent="0.3">
      <c r="B43" s="88">
        <v>283.52999877929688</v>
      </c>
      <c r="C43" s="86">
        <v>3754.9599609375</v>
      </c>
      <c r="D43" s="87">
        <v>0.40000000596046448</v>
      </c>
      <c r="F43" s="83">
        <f t="shared" si="0"/>
        <v>374.42999386787415</v>
      </c>
      <c r="G43" s="83">
        <f t="shared" si="1"/>
        <v>0</v>
      </c>
      <c r="H43" s="83">
        <f>H36</f>
        <v>53.528749704360962</v>
      </c>
    </row>
    <row r="44" spans="2:8" x14ac:dyDescent="0.3">
      <c r="B44" s="88">
        <v>2239.35009765625</v>
      </c>
      <c r="C44" s="86">
        <v>4215.39013671875</v>
      </c>
      <c r="D44" s="87">
        <v>0.38999998569488525</v>
      </c>
      <c r="F44" s="83">
        <f t="shared" si="0"/>
        <v>374.42999386787415</v>
      </c>
      <c r="G44" s="83">
        <f t="shared" si="1"/>
        <v>0</v>
      </c>
      <c r="H44" s="83">
        <f>H36</f>
        <v>53.528749704360962</v>
      </c>
    </row>
    <row r="45" spans="2:8" x14ac:dyDescent="0.3">
      <c r="B45" s="88">
        <v>2399.570068359375</v>
      </c>
      <c r="C45" s="86">
        <v>3734.72998046875</v>
      </c>
      <c r="D45" s="87">
        <v>0.94999998807907104</v>
      </c>
      <c r="F45" s="83">
        <f t="shared" si="0"/>
        <v>374.42999386787415</v>
      </c>
      <c r="G45" s="83" t="str">
        <f t="shared" si="1"/>
        <v>=$G36</v>
      </c>
      <c r="H45" s="83">
        <f>H36</f>
        <v>53.528749704360962</v>
      </c>
    </row>
    <row r="46" spans="2:8" x14ac:dyDescent="0.3">
      <c r="B46" s="88">
        <v>1745.72998046875</v>
      </c>
      <c r="C46" s="86">
        <v>3745.179931640625</v>
      </c>
      <c r="D46" s="87">
        <v>0.5</v>
      </c>
      <c r="F46" s="83">
        <f t="shared" si="0"/>
        <v>374.42999386787415</v>
      </c>
      <c r="G46" s="83">
        <f t="shared" si="1"/>
        <v>8</v>
      </c>
      <c r="H46" s="83">
        <f>H36</f>
        <v>53.528749704360962</v>
      </c>
    </row>
    <row r="47" spans="2:8" x14ac:dyDescent="0.3">
      <c r="B47" s="88">
        <v>1201.8800048828125</v>
      </c>
      <c r="C47" s="86">
        <v>3818.81005859375</v>
      </c>
      <c r="D47" s="87">
        <v>0.18999999761581421</v>
      </c>
      <c r="F47" s="83">
        <f t="shared" si="0"/>
        <v>374.42999386787415</v>
      </c>
      <c r="G47" s="83">
        <f t="shared" si="1"/>
        <v>0</v>
      </c>
      <c r="H47" s="83">
        <f>H36</f>
        <v>53.528749704360962</v>
      </c>
    </row>
    <row r="48" spans="2:8" x14ac:dyDescent="0.3">
      <c r="B48" s="88">
        <v>848.260009765625</v>
      </c>
      <c r="C48" s="86">
        <v>3551.77001953125</v>
      </c>
      <c r="D48" s="87">
        <v>0.34999999403953552</v>
      </c>
      <c r="F48" s="83">
        <f t="shared" si="0"/>
        <v>374.42999386787415</v>
      </c>
      <c r="G48" s="83">
        <f t="shared" si="1"/>
        <v>0</v>
      </c>
      <c r="H48" s="83">
        <f>H36</f>
        <v>53.528749704360962</v>
      </c>
    </row>
    <row r="49" spans="1:8" x14ac:dyDescent="0.3">
      <c r="B49" s="88">
        <v>3444.9599609375</v>
      </c>
      <c r="C49" s="86">
        <v>2089.570068359375</v>
      </c>
      <c r="D49" s="87">
        <v>0.5</v>
      </c>
      <c r="F49" s="83">
        <f t="shared" si="0"/>
        <v>374.42999386787415</v>
      </c>
      <c r="G49" s="83">
        <f t="shared" si="1"/>
        <v>0</v>
      </c>
      <c r="H49" s="83">
        <f>H36</f>
        <v>53.528749704360962</v>
      </c>
    </row>
    <row r="50" spans="1:8" x14ac:dyDescent="0.3">
      <c r="B50" s="88">
        <v>4973.52978515625</v>
      </c>
      <c r="C50" s="86">
        <v>2503.8701171875</v>
      </c>
      <c r="D50" s="87">
        <v>0.72000002861022949</v>
      </c>
      <c r="F50" s="83">
        <f t="shared" si="0"/>
        <v>374.42999386787415</v>
      </c>
      <c r="G50" s="83" t="str">
        <f t="shared" si="1"/>
        <v>=$G36</v>
      </c>
      <c r="H50" s="83">
        <f>H36</f>
        <v>53.528749704360962</v>
      </c>
    </row>
    <row r="54" spans="1:8" x14ac:dyDescent="0.3">
      <c r="B54" s="57" t="s">
        <v>114</v>
      </c>
      <c r="C54" s="57"/>
      <c r="D54" s="57"/>
      <c r="E54" s="57"/>
      <c r="F54" s="57"/>
      <c r="G54" s="57"/>
      <c r="H54" s="57"/>
    </row>
    <row r="55" spans="1:8" x14ac:dyDescent="0.3">
      <c r="A55" s="76"/>
      <c r="B55" s="84" t="str">
        <f>CHOOSE(4,"Underline","Italics","Bold","None")</f>
        <v>None</v>
      </c>
      <c r="C55" s="84" t="str">
        <f>CHOOSE(1,"Underline","Italics","Bold","None")</f>
        <v>Underline</v>
      </c>
      <c r="D55" s="84" t="str">
        <f>CHOOSE(4,"Underline","Italics","Bold","None")</f>
        <v>None</v>
      </c>
      <c r="E55" s="84" t="str">
        <f>CHOOSE(1,"Underline","Italics","Bold","None")</f>
        <v>Underline</v>
      </c>
      <c r="F55" s="84" t="str">
        <f>CHOOSE(1,"Underline","Italics","Bold","None")</f>
        <v>Underline</v>
      </c>
      <c r="G55" s="84" t="str">
        <f>CHOOSE(3,"Underline","Italics","Bold","None")</f>
        <v>Bold</v>
      </c>
      <c r="H55" s="84" t="str">
        <f>CHOOSE(1,"Underline","Italics","Bold","None")</f>
        <v>Underline</v>
      </c>
    </row>
    <row r="56" spans="1:8" x14ac:dyDescent="0.3">
      <c r="A56" s="76"/>
      <c r="B56" s="84" t="str">
        <f>CHOOSE(3,"Underline","Italics","Bold","None")</f>
        <v>Bold</v>
      </c>
      <c r="C56" s="84" t="str">
        <f>CHOOSE(4,"Underline","Italics","Bold","None")</f>
        <v>None</v>
      </c>
      <c r="D56" s="84" t="str">
        <f>CHOOSE(3,"Underline","Italics","Bold","None")</f>
        <v>Bold</v>
      </c>
      <c r="E56" s="84" t="str">
        <f>CHOOSE(4,"Underline","Italics","Bold","None")</f>
        <v>None</v>
      </c>
      <c r="F56" s="84" t="str">
        <f>CHOOSE(4,"Underline","Italics","Bold","None")</f>
        <v>None</v>
      </c>
      <c r="G56" s="84" t="str">
        <f>CHOOSE(3,"Underline","Italics","Bold","None")</f>
        <v>Bold</v>
      </c>
      <c r="H56" s="84" t="str">
        <f>CHOOSE(2,"Underline","Italics","Bold","None")</f>
        <v>Italics</v>
      </c>
    </row>
    <row r="57" spans="1:8" x14ac:dyDescent="0.3">
      <c r="A57" s="76"/>
      <c r="B57" s="84" t="str">
        <f>CHOOSE(2,"Underline","Italics","Bold","None")</f>
        <v>Italics</v>
      </c>
      <c r="C57" s="84" t="str">
        <f>CHOOSE(1,"Underline","Italics","Bold","None")</f>
        <v>Underline</v>
      </c>
      <c r="D57" s="84" t="str">
        <f>CHOOSE(3,"Underline","Italics","Bold","None")</f>
        <v>Bold</v>
      </c>
      <c r="E57" s="84" t="str">
        <f>CHOOSE(1,"Underline","Italics","Bold","None")</f>
        <v>Underline</v>
      </c>
      <c r="F57" s="84" t="str">
        <f>CHOOSE(4,"Underline","Italics","Bold","None")</f>
        <v>None</v>
      </c>
      <c r="G57" s="84" t="str">
        <f>CHOOSE(4,"Underline","Italics","Bold","None")</f>
        <v>None</v>
      </c>
      <c r="H57" s="84" t="str">
        <f>CHOOSE(4,"Underline","Italics","Bold","None")</f>
        <v>None</v>
      </c>
    </row>
    <row r="58" spans="1:8" x14ac:dyDescent="0.3">
      <c r="A58" s="76"/>
      <c r="B58" s="84" t="str">
        <f>CHOOSE(3,"Underline","Italics","Bold","None")</f>
        <v>Bold</v>
      </c>
      <c r="C58" s="84" t="str">
        <f>CHOOSE(2,"Underline","Italics","Bold","None")</f>
        <v>Italics</v>
      </c>
      <c r="D58" s="84" t="str">
        <f>CHOOSE(2,"Underline","Italics","Bold","None")</f>
        <v>Italics</v>
      </c>
      <c r="E58" s="84" t="str">
        <f>CHOOSE(2,"Underline","Italics","Bold","None")</f>
        <v>Italics</v>
      </c>
      <c r="F58" s="84" t="str">
        <f>CHOOSE(4,"Underline","Italics","Bold","None")</f>
        <v>None</v>
      </c>
      <c r="G58" s="84" t="str">
        <f>CHOOSE(4,"Underline","Italics","Bold","None")</f>
        <v>None</v>
      </c>
      <c r="H58" s="84" t="str">
        <f>CHOOSE(3,"Underline","Italics","Bold","None")</f>
        <v>Bold</v>
      </c>
    </row>
    <row r="59" spans="1:8" x14ac:dyDescent="0.3">
      <c r="A59" s="76"/>
      <c r="B59" s="84" t="str">
        <f>CHOOSE(1,"Underline","Italics","Bold","None")</f>
        <v>Underline</v>
      </c>
      <c r="C59" s="84" t="str">
        <f>CHOOSE(3,"Underline","Italics","Bold","None")</f>
        <v>Bold</v>
      </c>
      <c r="D59" s="84" t="str">
        <f>CHOOSE(3,"Underline","Italics","Bold","None")</f>
        <v>Bold</v>
      </c>
      <c r="E59" s="84" t="str">
        <f>CHOOSE(3,"Underline","Italics","Bold","None")</f>
        <v>Bold</v>
      </c>
      <c r="F59" s="84" t="str">
        <f>CHOOSE(4,"Underline","Italics","Bold","None")</f>
        <v>None</v>
      </c>
      <c r="G59" s="84" t="str">
        <f>CHOOSE(2,"Underline","Italics","Bold","None")</f>
        <v>Italics</v>
      </c>
      <c r="H59" s="84" t="str">
        <f>CHOOSE(3,"Underline","Italics","Bold","None")</f>
        <v>Bold</v>
      </c>
    </row>
    <row r="60" spans="1:8" x14ac:dyDescent="0.3">
      <c r="A60" s="76"/>
      <c r="B60" s="84" t="str">
        <f>CHOOSE(2,"Underline","Italics","Bold","None")</f>
        <v>Italics</v>
      </c>
      <c r="C60" s="84" t="str">
        <f>CHOOSE(2,"Underline","Italics","Bold","None")</f>
        <v>Italics</v>
      </c>
      <c r="D60" s="84" t="str">
        <f>CHOOSE(1,"Underline","Italics","Bold","None")</f>
        <v>Underline</v>
      </c>
      <c r="E60" s="84" t="str">
        <f>CHOOSE(1,"Underline","Italics","Bold","None")</f>
        <v>Underline</v>
      </c>
      <c r="F60" s="84" t="str">
        <f>CHOOSE(2,"Underline","Italics","Bold","None")</f>
        <v>Italics</v>
      </c>
      <c r="G60" s="84" t="str">
        <f>CHOOSE(3,"Underline","Italics","Bold","None")</f>
        <v>Bold</v>
      </c>
      <c r="H60" s="84" t="str">
        <f>CHOOSE(2,"Underline","Italics","Bold","None")</f>
        <v>Italics</v>
      </c>
    </row>
    <row r="61" spans="1:8" x14ac:dyDescent="0.3">
      <c r="A61" s="76"/>
      <c r="B61" s="84" t="str">
        <f>CHOOSE(1,"Underline","Italics","Bold","None")</f>
        <v>Underline</v>
      </c>
      <c r="C61" s="84" t="str">
        <f>CHOOSE(3,"Underline","Italics","Bold","None")</f>
        <v>Bold</v>
      </c>
      <c r="D61" s="84" t="str">
        <f>CHOOSE(4,"Underline","Italics","Bold","None")</f>
        <v>None</v>
      </c>
      <c r="E61" s="84" t="str">
        <f>CHOOSE(1,"Underline","Italics","Bold","None")</f>
        <v>Underline</v>
      </c>
      <c r="F61" s="84" t="str">
        <f>CHOOSE(1,"Underline","Italics","Bold","None")</f>
        <v>Underline</v>
      </c>
      <c r="G61" s="84" t="str">
        <f>CHOOSE(1,"Underline","Italics","Bold","None")</f>
        <v>Underline</v>
      </c>
      <c r="H61" s="84" t="str">
        <f>CHOOSE(4,"Underline","Italics","Bold","None")</f>
        <v>None</v>
      </c>
    </row>
    <row r="62" spans="1:8" x14ac:dyDescent="0.3">
      <c r="A62" s="76"/>
      <c r="B62" s="84" t="str">
        <f>CHOOSE(3,"Underline","Italics","Bold","None")</f>
        <v>Bold</v>
      </c>
      <c r="C62" s="84" t="str">
        <f>CHOOSE(1,"Underline","Italics","Bold","None")</f>
        <v>Underline</v>
      </c>
      <c r="D62" s="84" t="str">
        <f>CHOOSE(3,"Underline","Italics","Bold","None")</f>
        <v>Bold</v>
      </c>
      <c r="E62" s="84" t="str">
        <f>CHOOSE(3,"Underline","Italics","Bold","None")</f>
        <v>Bold</v>
      </c>
      <c r="F62" s="84" t="str">
        <f>CHOOSE(3,"Underline","Italics","Bold","None")</f>
        <v>Bold</v>
      </c>
      <c r="G62" s="84" t="str">
        <f>CHOOSE(4,"Underline","Italics","Bold","None")</f>
        <v>None</v>
      </c>
      <c r="H62" s="84" t="str">
        <f>CHOOSE(3,"Underline","Italics","Bold","None")</f>
        <v>Bold</v>
      </c>
    </row>
    <row r="63" spans="1:8" x14ac:dyDescent="0.3">
      <c r="A63" s="76"/>
      <c r="B63" s="84" t="str">
        <f>CHOOSE(1,"Underline","Italics","Bold","None")</f>
        <v>Underline</v>
      </c>
      <c r="C63" s="84" t="str">
        <f>CHOOSE(3,"Underline","Italics","Bold","None")</f>
        <v>Bold</v>
      </c>
      <c r="D63" s="84" t="str">
        <f>CHOOSE(3,"Underline","Italics","Bold","None")</f>
        <v>Bold</v>
      </c>
      <c r="E63" s="84" t="str">
        <f>CHOOSE(1,"Underline","Italics","Bold","None")</f>
        <v>Underline</v>
      </c>
      <c r="F63" s="84" t="str">
        <f>CHOOSE(3,"Underline","Italics","Bold","None")</f>
        <v>Bold</v>
      </c>
      <c r="G63" s="84" t="str">
        <f>CHOOSE(1,"Underline","Italics","Bold","None")</f>
        <v>Underline</v>
      </c>
      <c r="H63" s="84" t="str">
        <f>CHOOSE(1,"Underline","Italics","Bold","None")</f>
        <v>Underline</v>
      </c>
    </row>
    <row r="64" spans="1:8" x14ac:dyDescent="0.3">
      <c r="A64" s="76"/>
      <c r="B64" s="84" t="str">
        <f>CHOOSE(2,"Underline","Italics","Bold","None")</f>
        <v>Italics</v>
      </c>
      <c r="C64" s="84" t="str">
        <f>CHOOSE(2,"Underline","Italics","Bold","None")</f>
        <v>Italics</v>
      </c>
      <c r="D64" s="84" t="str">
        <f>CHOOSE(2,"Underline","Italics","Bold","None")</f>
        <v>Italics</v>
      </c>
      <c r="E64" s="84" t="str">
        <f>CHOOSE(4,"Underline","Italics","Bold","None")</f>
        <v>None</v>
      </c>
      <c r="F64" s="84" t="str">
        <f>CHOOSE(2,"Underline","Italics","Bold","None")</f>
        <v>Italics</v>
      </c>
      <c r="G64" s="84" t="str">
        <f>CHOOSE(3,"Underline","Italics","Bold","None")</f>
        <v>Bold</v>
      </c>
      <c r="H64" s="84" t="str">
        <f>CHOOSE(3,"Underline","Italics","Bold","None")</f>
        <v>Bold</v>
      </c>
    </row>
    <row r="1756" spans="82:136" x14ac:dyDescent="0.3">
      <c r="CD1756" s="3" t="s">
        <v>94</v>
      </c>
      <c r="EF1756" s="3" t="s">
        <v>93</v>
      </c>
    </row>
    <row r="2098" spans="82:82" x14ac:dyDescent="0.3">
      <c r="CD2098" s="3" t="s">
        <v>95</v>
      </c>
    </row>
    <row r="2364" spans="136:204" x14ac:dyDescent="0.3">
      <c r="EF2364" s="3" t="s">
        <v>92</v>
      </c>
      <c r="GV2364" s="5" t="s">
        <v>91</v>
      </c>
    </row>
    <row r="5550" spans="79:204" x14ac:dyDescent="0.3">
      <c r="CA5550" s="5" t="s">
        <v>89</v>
      </c>
      <c r="GV5550" s="5" t="s">
        <v>90</v>
      </c>
    </row>
    <row r="5551" spans="79:204" x14ac:dyDescent="0.3">
      <c r="CA5551" s="2"/>
    </row>
    <row r="6819" spans="246:246" ht="18" x14ac:dyDescent="0.35">
      <c r="IL6819" s="8" t="s">
        <v>97</v>
      </c>
    </row>
  </sheetData>
  <sheetProtection algorithmName="SHA-512" hashValue="s5l9AYikB9YO1yZZFUrlzkprwODIMtSSTV8BcbwjPBwHzuQIPx8iyFN5sp9N8PPkjbBC4TYWGYiIz0UyhuY03g==" saltValue="AGmpvmT1u022td/K/XKcMg==" spinCount="100000" sheet="1" objects="1" scenarios="1" formatCells="0"/>
  <mergeCells count="10">
    <mergeCell ref="B8:D8"/>
    <mergeCell ref="CA8:CC9"/>
    <mergeCell ref="CA14:CC14"/>
    <mergeCell ref="B2:H2"/>
    <mergeCell ref="B18:H18"/>
    <mergeCell ref="B39:D39"/>
    <mergeCell ref="F39:H39"/>
    <mergeCell ref="B26:D26"/>
    <mergeCell ref="B54:H54"/>
    <mergeCell ref="B20:H21"/>
  </mergeCell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pageSetUpPr fitToPage="1"/>
  </sheetPr>
  <dimension ref="B2:P47"/>
  <sheetViews>
    <sheetView showGridLines="0" tabSelected="1" zoomScaleNormal="100" workbookViewId="0">
      <selection activeCell="C3" sqref="C3:K5"/>
    </sheetView>
  </sheetViews>
  <sheetFormatPr defaultColWidth="9.109375" defaultRowHeight="14.4" x14ac:dyDescent="0.3"/>
  <cols>
    <col min="1" max="1" width="2.88671875" customWidth="1"/>
    <col min="2" max="2" width="3.109375" customWidth="1"/>
    <col min="3" max="3" width="4.44140625" customWidth="1"/>
    <col min="4" max="6" width="12.5546875" customWidth="1"/>
    <col min="7" max="7" width="8.109375" customWidth="1"/>
    <col min="8" max="8" width="15.5546875" customWidth="1"/>
    <col min="9" max="10" width="14.44140625" customWidth="1"/>
    <col min="11" max="11" width="4.44140625" customWidth="1"/>
    <col min="12" max="12" width="3.109375" customWidth="1"/>
    <col min="14" max="14" width="11.5546875" bestFit="1" customWidth="1"/>
  </cols>
  <sheetData>
    <row r="2" spans="2:12" ht="16.5" customHeight="1" x14ac:dyDescent="0.3"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</row>
    <row r="3" spans="2:12" ht="16.5" customHeight="1" x14ac:dyDescent="0.3">
      <c r="B3" s="10"/>
      <c r="C3" s="63" t="s">
        <v>40</v>
      </c>
      <c r="D3" s="64"/>
      <c r="E3" s="64"/>
      <c r="F3" s="64"/>
      <c r="G3" s="64"/>
      <c r="H3" s="64"/>
      <c r="I3" s="64"/>
      <c r="J3" s="64"/>
      <c r="K3" s="65"/>
      <c r="L3" s="10"/>
    </row>
    <row r="4" spans="2:12" ht="16.5" customHeight="1" x14ac:dyDescent="0.3">
      <c r="B4" s="10"/>
      <c r="C4" s="66"/>
      <c r="D4" s="67"/>
      <c r="E4" s="67"/>
      <c r="F4" s="67"/>
      <c r="G4" s="67"/>
      <c r="H4" s="67"/>
      <c r="I4" s="67"/>
      <c r="J4" s="67"/>
      <c r="K4" s="68"/>
      <c r="L4" s="10"/>
    </row>
    <row r="5" spans="2:12" ht="16.5" customHeight="1" x14ac:dyDescent="0.3">
      <c r="B5" s="10"/>
      <c r="C5" s="69"/>
      <c r="D5" s="70"/>
      <c r="E5" s="70"/>
      <c r="F5" s="70"/>
      <c r="G5" s="70"/>
      <c r="H5" s="70"/>
      <c r="I5" s="70"/>
      <c r="J5" s="70"/>
      <c r="K5" s="71"/>
      <c r="L5" s="10"/>
    </row>
    <row r="6" spans="2:12" ht="16.5" customHeight="1" x14ac:dyDescent="0.3">
      <c r="B6" s="10"/>
      <c r="C6" s="42"/>
      <c r="D6" s="10"/>
      <c r="E6" s="10"/>
      <c r="F6" s="10"/>
      <c r="G6" s="10"/>
      <c r="H6" s="10"/>
      <c r="I6" s="10"/>
      <c r="J6" s="10"/>
      <c r="K6" s="43" t="s">
        <v>81</v>
      </c>
      <c r="L6" s="10"/>
    </row>
    <row r="7" spans="2:12" ht="16.5" customHeight="1" x14ac:dyDescent="0.3">
      <c r="B7" s="10"/>
      <c r="C7" s="10"/>
      <c r="D7" s="10"/>
      <c r="E7" s="10"/>
      <c r="F7" s="10"/>
      <c r="G7" s="10"/>
      <c r="H7" s="10"/>
      <c r="I7" s="10"/>
      <c r="J7" s="10"/>
      <c r="K7" s="10"/>
      <c r="L7" s="10"/>
    </row>
    <row r="8" spans="2:12" ht="36.6" x14ac:dyDescent="0.9">
      <c r="B8" s="10"/>
      <c r="C8" s="10"/>
      <c r="D8" s="40" t="s">
        <v>41</v>
      </c>
      <c r="E8" s="11"/>
      <c r="F8" s="11"/>
      <c r="G8" s="11"/>
      <c r="H8" s="11"/>
      <c r="I8" s="11"/>
      <c r="J8" s="11"/>
      <c r="K8" s="10"/>
      <c r="L8" s="10"/>
    </row>
    <row r="9" spans="2:12" ht="16.5" customHeight="1" x14ac:dyDescent="0.3">
      <c r="B9" s="10"/>
      <c r="C9" s="10"/>
      <c r="D9" s="11"/>
      <c r="E9" s="11"/>
      <c r="F9" s="11"/>
      <c r="G9" s="11"/>
      <c r="H9" s="11"/>
      <c r="I9" s="11"/>
      <c r="J9" s="11"/>
      <c r="K9" s="10"/>
      <c r="L9" s="10"/>
    </row>
    <row r="10" spans="2:12" ht="30" customHeight="1" x14ac:dyDescent="0.3">
      <c r="B10" s="10"/>
      <c r="C10" s="10"/>
      <c r="D10" s="72" t="s">
        <v>42</v>
      </c>
      <c r="E10" s="72"/>
      <c r="F10" s="72"/>
      <c r="G10" s="14"/>
      <c r="H10" s="41" t="s">
        <v>49</v>
      </c>
      <c r="I10" s="62" t="s">
        <v>50</v>
      </c>
      <c r="J10" s="62"/>
      <c r="K10" s="10"/>
      <c r="L10" s="10"/>
    </row>
    <row r="11" spans="2:12" ht="26.25" customHeight="1" x14ac:dyDescent="0.3">
      <c r="B11" s="10"/>
      <c r="C11" s="10"/>
      <c r="D11" s="26" t="s">
        <v>82</v>
      </c>
      <c r="E11" s="27"/>
      <c r="F11" s="27"/>
      <c r="G11" s="27"/>
      <c r="H11" s="28">
        <f>key!B5-key!B4</f>
        <v>2.1057870399090461E-3</v>
      </c>
      <c r="I11" s="74" t="s">
        <v>64</v>
      </c>
      <c r="J11" s="74"/>
      <c r="K11" s="10"/>
      <c r="L11" s="10"/>
    </row>
    <row r="12" spans="2:12" ht="26.25" customHeight="1" x14ac:dyDescent="0.3">
      <c r="B12" s="10"/>
      <c r="C12" s="10"/>
      <c r="D12" s="29" t="s">
        <v>69</v>
      </c>
      <c r="E12" s="30"/>
      <c r="F12" s="30"/>
      <c r="G12" s="30"/>
      <c r="H12" s="31">
        <f>key!B7-key!B6</f>
        <v>5.3090277651790529E-4</v>
      </c>
      <c r="I12" s="73" t="str">
        <f>key!B8</f>
        <v>Yes</v>
      </c>
      <c r="J12" s="73"/>
      <c r="K12" s="10"/>
      <c r="L12" s="10"/>
    </row>
    <row r="13" spans="2:12" ht="26.25" customHeight="1" x14ac:dyDescent="0.3">
      <c r="B13" s="10"/>
      <c r="C13" s="10"/>
      <c r="D13" s="26" t="s">
        <v>70</v>
      </c>
      <c r="E13" s="27"/>
      <c r="F13" s="27"/>
      <c r="G13" s="27"/>
      <c r="H13" s="28">
        <f>key!B10-key!B9</f>
        <v>1.5333333358285017E-3</v>
      </c>
      <c r="I13" s="74" t="str">
        <f>key!B11</f>
        <v>No</v>
      </c>
      <c r="J13" s="74"/>
      <c r="K13" s="10"/>
      <c r="L13" s="10"/>
    </row>
    <row r="14" spans="2:12" ht="26.25" customHeight="1" x14ac:dyDescent="0.3">
      <c r="B14" s="10"/>
      <c r="C14" s="10"/>
      <c r="D14" s="29" t="s">
        <v>71</v>
      </c>
      <c r="E14" s="30"/>
      <c r="F14" s="30"/>
      <c r="G14" s="30"/>
      <c r="H14" s="31">
        <f>key!B13-key!B12</f>
        <v>2.0483656249998603</v>
      </c>
      <c r="I14" s="73" t="str">
        <f>key!B14</f>
        <v>No</v>
      </c>
      <c r="J14" s="73"/>
      <c r="K14" s="10"/>
      <c r="L14" s="10"/>
    </row>
    <row r="15" spans="2:12" ht="26.25" customHeight="1" x14ac:dyDescent="0.3">
      <c r="B15" s="10"/>
      <c r="C15" s="10"/>
      <c r="D15" s="26" t="s">
        <v>72</v>
      </c>
      <c r="E15" s="27"/>
      <c r="F15" s="27"/>
      <c r="G15" s="27"/>
      <c r="H15" s="28">
        <f>key!B16-key!B15</f>
        <v>2.4190972180804238E-3</v>
      </c>
      <c r="I15" s="74" t="str">
        <f>key!B17</f>
        <v>No</v>
      </c>
      <c r="J15" s="74"/>
      <c r="K15" s="10"/>
      <c r="L15" s="10"/>
    </row>
    <row r="16" spans="2:12" ht="26.25" customHeight="1" x14ac:dyDescent="0.3">
      <c r="B16" s="10"/>
      <c r="C16" s="10"/>
      <c r="D16" s="29" t="s">
        <v>73</v>
      </c>
      <c r="E16" s="30"/>
      <c r="F16" s="30"/>
      <c r="G16" s="30"/>
      <c r="H16" s="31">
        <f>key!B19-key!B18</f>
        <v>2.2171296295709908E-3</v>
      </c>
      <c r="I16" s="73" t="str">
        <f>key!B20</f>
        <v>No</v>
      </c>
      <c r="J16" s="73"/>
      <c r="K16" s="10"/>
      <c r="L16" s="10"/>
    </row>
    <row r="17" spans="2:16" ht="41.25" customHeight="1" thickBot="1" x14ac:dyDescent="0.6">
      <c r="B17" s="10"/>
      <c r="C17" s="10"/>
      <c r="D17" s="15"/>
      <c r="E17" s="12"/>
      <c r="F17" s="12"/>
      <c r="G17" s="12"/>
      <c r="H17" s="24">
        <f>SUM(H11:H16)</f>
        <v>2.0571718749997672</v>
      </c>
      <c r="I17" s="25" t="str">
        <f>COUNTIF($I$11:$J$16,"Yes")&amp;" out of 6"</f>
        <v>2 out of 6</v>
      </c>
      <c r="J17" s="25"/>
      <c r="K17" s="10"/>
      <c r="L17" s="10"/>
      <c r="N17" s="32"/>
      <c r="O17" s="32"/>
    </row>
    <row r="18" spans="2:16" ht="16.5" customHeight="1" x14ac:dyDescent="0.3">
      <c r="B18" s="10"/>
      <c r="C18" s="10"/>
      <c r="D18" s="15"/>
      <c r="E18" s="12"/>
      <c r="F18" s="12"/>
      <c r="G18" s="12"/>
      <c r="H18" s="12"/>
      <c r="I18" s="12"/>
      <c r="J18" s="12"/>
      <c r="K18" s="10"/>
      <c r="L18" s="10"/>
      <c r="P18" s="32"/>
    </row>
    <row r="19" spans="2:16" ht="16.5" customHeight="1" x14ac:dyDescent="0.3">
      <c r="B19" s="10"/>
      <c r="C19" s="10"/>
      <c r="D19" s="15"/>
      <c r="E19" s="12"/>
      <c r="F19" s="12"/>
      <c r="G19" s="12"/>
      <c r="H19" s="12"/>
      <c r="I19" s="12"/>
      <c r="J19" s="12"/>
      <c r="K19" s="10"/>
      <c r="L19" s="10"/>
    </row>
    <row r="20" spans="2:16" ht="16.5" customHeight="1" x14ac:dyDescent="0.3">
      <c r="B20" s="10"/>
      <c r="C20" s="10"/>
      <c r="D20" s="61"/>
      <c r="E20" s="61"/>
      <c r="F20" s="61"/>
      <c r="G20" s="61"/>
      <c r="H20" s="61"/>
      <c r="I20" s="61"/>
      <c r="J20" s="61"/>
      <c r="K20" s="10"/>
      <c r="L20" s="10"/>
    </row>
    <row r="21" spans="2:16" ht="16.5" customHeight="1" x14ac:dyDescent="0.3">
      <c r="B21" s="10"/>
      <c r="C21" s="10"/>
      <c r="D21" s="61"/>
      <c r="E21" s="61"/>
      <c r="F21" s="61"/>
      <c r="G21" s="61"/>
      <c r="H21" s="61"/>
      <c r="I21" s="61"/>
      <c r="J21" s="61"/>
      <c r="K21" s="10"/>
      <c r="L21" s="10"/>
    </row>
    <row r="22" spans="2:16" ht="16.5" customHeight="1" x14ac:dyDescent="0.3">
      <c r="B22" s="10"/>
      <c r="C22" s="10"/>
      <c r="D22" s="61" t="s">
        <v>43</v>
      </c>
      <c r="E22" s="61"/>
      <c r="F22" s="61"/>
      <c r="G22" s="61"/>
      <c r="H22" s="61"/>
      <c r="I22" s="61"/>
      <c r="J22" s="61"/>
      <c r="K22" s="10"/>
      <c r="L22" s="10"/>
    </row>
    <row r="23" spans="2:16" ht="16.5" customHeight="1" x14ac:dyDescent="0.3">
      <c r="B23" s="10"/>
      <c r="C23" s="10"/>
      <c r="D23" s="61"/>
      <c r="E23" s="61"/>
      <c r="F23" s="61"/>
      <c r="G23" s="61"/>
      <c r="H23" s="61"/>
      <c r="I23" s="61"/>
      <c r="J23" s="61"/>
      <c r="K23" s="10"/>
      <c r="L23" s="10"/>
      <c r="N23" s="23"/>
    </row>
    <row r="24" spans="2:16" ht="16.5" customHeight="1" x14ac:dyDescent="0.3">
      <c r="B24" s="10"/>
      <c r="C24" s="10"/>
      <c r="D24" s="15"/>
      <c r="E24" s="12"/>
      <c r="F24" s="12"/>
      <c r="G24" s="12"/>
      <c r="H24" s="12"/>
      <c r="I24" s="12"/>
      <c r="J24" s="12"/>
      <c r="K24" s="10"/>
      <c r="L24" s="10"/>
    </row>
    <row r="25" spans="2:16" ht="16.5" customHeight="1" x14ac:dyDescent="0.3">
      <c r="B25" s="10"/>
      <c r="C25" s="10"/>
      <c r="D25" s="13"/>
      <c r="E25" s="11"/>
      <c r="F25" s="11"/>
      <c r="G25" s="11"/>
      <c r="H25" s="11"/>
      <c r="I25" s="11"/>
      <c r="J25" s="11"/>
      <c r="K25" s="10"/>
      <c r="L25" s="10"/>
    </row>
    <row r="26" spans="2:16" ht="16.5" customHeight="1" x14ac:dyDescent="0.3">
      <c r="B26" s="10"/>
      <c r="C26" s="10"/>
      <c r="D26" s="11"/>
      <c r="E26" s="11"/>
      <c r="F26" s="11"/>
      <c r="G26" s="11"/>
      <c r="H26" s="11"/>
      <c r="I26" s="11"/>
      <c r="J26" s="11"/>
      <c r="K26" s="10"/>
      <c r="L26" s="10"/>
    </row>
    <row r="27" spans="2:16" ht="16.5" customHeight="1" x14ac:dyDescent="0.3">
      <c r="B27" s="10"/>
      <c r="C27" s="10"/>
      <c r="D27" s="11"/>
      <c r="E27" s="11"/>
      <c r="F27" s="11"/>
      <c r="G27" s="11"/>
      <c r="H27" s="11"/>
      <c r="I27" s="11"/>
      <c r="J27" s="11"/>
      <c r="K27" s="10"/>
      <c r="L27" s="10"/>
    </row>
    <row r="28" spans="2:16" ht="16.5" customHeight="1" x14ac:dyDescent="0.3">
      <c r="B28" s="10"/>
      <c r="C28" s="10"/>
      <c r="D28" s="11"/>
      <c r="E28" s="11"/>
      <c r="F28" s="11"/>
      <c r="G28" s="11"/>
      <c r="H28" s="11"/>
      <c r="I28" s="11"/>
      <c r="J28" s="11"/>
      <c r="K28" s="10"/>
      <c r="L28" s="10"/>
    </row>
    <row r="29" spans="2:16" ht="16.5" customHeight="1" x14ac:dyDescent="0.3">
      <c r="B29" s="10"/>
      <c r="C29" s="10"/>
      <c r="D29" s="11"/>
      <c r="E29" s="11"/>
      <c r="F29" s="11"/>
      <c r="G29" s="11"/>
      <c r="H29" s="11"/>
      <c r="I29" s="11"/>
      <c r="J29" s="11"/>
      <c r="K29" s="10"/>
      <c r="L29" s="10"/>
    </row>
    <row r="30" spans="2:16" ht="16.5" customHeight="1" x14ac:dyDescent="0.3">
      <c r="B30" s="10"/>
      <c r="C30" s="10"/>
      <c r="D30" s="11"/>
      <c r="E30" s="11"/>
      <c r="F30" s="11"/>
      <c r="G30" s="11"/>
      <c r="H30" s="11"/>
      <c r="I30" s="11"/>
      <c r="J30" s="11"/>
      <c r="K30" s="10"/>
      <c r="L30" s="10"/>
    </row>
    <row r="31" spans="2:16" ht="16.5" customHeight="1" x14ac:dyDescent="0.3">
      <c r="B31" s="10"/>
      <c r="C31" s="10"/>
      <c r="D31" s="11"/>
      <c r="E31" s="11"/>
      <c r="F31" s="11"/>
      <c r="G31" s="11"/>
      <c r="H31" s="11"/>
      <c r="I31" s="11"/>
      <c r="J31" s="11"/>
      <c r="K31" s="10"/>
      <c r="L31" s="10"/>
    </row>
    <row r="32" spans="2:16" ht="16.5" customHeight="1" x14ac:dyDescent="0.3">
      <c r="B32" s="10"/>
      <c r="C32" s="10"/>
      <c r="D32" s="11"/>
      <c r="E32" s="11"/>
      <c r="F32" s="11"/>
      <c r="G32" s="11"/>
      <c r="H32" s="11"/>
      <c r="I32" s="11"/>
      <c r="J32" s="11"/>
      <c r="K32" s="10"/>
      <c r="L32" s="10"/>
    </row>
    <row r="33" spans="2:12" ht="16.5" customHeight="1" x14ac:dyDescent="0.3">
      <c r="B33" s="10"/>
      <c r="C33" s="10"/>
      <c r="D33" s="11"/>
      <c r="E33" s="11"/>
      <c r="F33" s="11"/>
      <c r="G33" s="11"/>
      <c r="H33" s="11"/>
      <c r="I33" s="11"/>
      <c r="J33" s="11"/>
      <c r="K33" s="10"/>
      <c r="L33" s="10"/>
    </row>
    <row r="34" spans="2:12" ht="16.5" customHeight="1" x14ac:dyDescent="0.3"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</row>
    <row r="35" spans="2:12" ht="16.5" customHeight="1" x14ac:dyDescent="0.3"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</row>
    <row r="36" spans="2:12" ht="16.5" customHeight="1" x14ac:dyDescent="0.3"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</row>
    <row r="37" spans="2:12" ht="16.5" customHeight="1" x14ac:dyDescent="0.3"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</row>
    <row r="38" spans="2:12" x14ac:dyDescent="0.3"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</row>
    <row r="39" spans="2:12" x14ac:dyDescent="0.3"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</row>
    <row r="40" spans="2:12" x14ac:dyDescent="0.3"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</row>
    <row r="41" spans="2:12" x14ac:dyDescent="0.3"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</row>
    <row r="42" spans="2:12" x14ac:dyDescent="0.3"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</row>
    <row r="43" spans="2:12" x14ac:dyDescent="0.3"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</row>
    <row r="44" spans="2:12" x14ac:dyDescent="0.3"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</row>
    <row r="45" spans="2:12" x14ac:dyDescent="0.3"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</row>
    <row r="46" spans="2:12" ht="15.6" x14ac:dyDescent="0.3">
      <c r="B46" s="10"/>
      <c r="C46" s="10"/>
      <c r="D46" s="10"/>
      <c r="E46" s="10"/>
      <c r="F46" s="10"/>
      <c r="G46" s="10"/>
      <c r="H46" s="17" t="s">
        <v>47</v>
      </c>
      <c r="I46" s="10"/>
      <c r="J46" s="10"/>
      <c r="K46" s="10"/>
      <c r="L46" s="10"/>
    </row>
    <row r="47" spans="2:12" x14ac:dyDescent="0.3"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</row>
  </sheetData>
  <sheetProtection algorithmName="SHA-512" hashValue="Qs0ZG6Ng3IYybWL0DDDGn7VGHYRduxgfR6no1as6HlsNYOq/F6YiAs/AxfeNZWds4vX1vJeeKl8C2FRAwzmrSw==" saltValue="NLuB4bAOV9UQKN7kk9rJyg==" spinCount="100000" sheet="1" objects="1" scenarios="1" formatCells="0"/>
  <mergeCells count="11">
    <mergeCell ref="D22:J23"/>
    <mergeCell ref="I10:J10"/>
    <mergeCell ref="D20:J21"/>
    <mergeCell ref="C3:K5"/>
    <mergeCell ref="D10:F10"/>
    <mergeCell ref="I16:J16"/>
    <mergeCell ref="I15:J15"/>
    <mergeCell ref="I14:J14"/>
    <mergeCell ref="I13:J13"/>
    <mergeCell ref="I12:J12"/>
    <mergeCell ref="I11:J11"/>
  </mergeCells>
  <dataValidations count="1">
    <dataValidation allowBlank="1" showInputMessage="1" showErrorMessage="1" promptTitle="CRUTER Note:" prompt="HR:MIN:SEC" sqref="H11:H17" xr:uid="{00000000-0002-0000-0500-000000000000}"/>
  </dataValidations>
  <printOptions horizontalCentered="1"/>
  <pageMargins left="0.25" right="0.25" top="0.5" bottom="0.5" header="0.3" footer="0.3"/>
  <pageSetup scale="87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39</vt:i4>
      </vt:variant>
    </vt:vector>
  </HeadingPairs>
  <TitlesOfParts>
    <vt:vector size="43" baseType="lpstr">
      <vt:lpstr>Excel Challenge</vt:lpstr>
      <vt:lpstr>Intro</vt:lpstr>
      <vt:lpstr>Challenge 1</vt:lpstr>
      <vt:lpstr>Congratulations!</vt:lpstr>
      <vt:lpstr>Version!ExternalData_1</vt:lpstr>
      <vt:lpstr>Version!ExternalData_10</vt:lpstr>
      <vt:lpstr>Version!ExternalData_11</vt:lpstr>
      <vt:lpstr>Version!ExternalData_12</vt:lpstr>
      <vt:lpstr>Version!ExternalData_13</vt:lpstr>
      <vt:lpstr>Version!ExternalData_14</vt:lpstr>
      <vt:lpstr>Version!ExternalData_15</vt:lpstr>
      <vt:lpstr>Version!ExternalData_16</vt:lpstr>
      <vt:lpstr>Version!ExternalData_18</vt:lpstr>
      <vt:lpstr>Version!ExternalData_2</vt:lpstr>
      <vt:lpstr>Version!ExternalData_22</vt:lpstr>
      <vt:lpstr>Version!ExternalData_25</vt:lpstr>
      <vt:lpstr>Version!ExternalData_26</vt:lpstr>
      <vt:lpstr>Version!ExternalData_27</vt:lpstr>
      <vt:lpstr>Version!ExternalData_28</vt:lpstr>
      <vt:lpstr>Version!ExternalData_29</vt:lpstr>
      <vt:lpstr>Version!ExternalData_3</vt:lpstr>
      <vt:lpstr>Version!ExternalData_30</vt:lpstr>
      <vt:lpstr>Version!ExternalData_31</vt:lpstr>
      <vt:lpstr>Version!ExternalData_32</vt:lpstr>
      <vt:lpstr>Version!ExternalData_33</vt:lpstr>
      <vt:lpstr>Version!ExternalData_34</vt:lpstr>
      <vt:lpstr>Version!ExternalData_35</vt:lpstr>
      <vt:lpstr>Version!ExternalData_36</vt:lpstr>
      <vt:lpstr>Version!ExternalData_37</vt:lpstr>
      <vt:lpstr>Version!ExternalData_38</vt:lpstr>
      <vt:lpstr>Version!ExternalData_39</vt:lpstr>
      <vt:lpstr>Version!ExternalData_4</vt:lpstr>
      <vt:lpstr>Version!ExternalData_40</vt:lpstr>
      <vt:lpstr>Version!ExternalData_41</vt:lpstr>
      <vt:lpstr>Version!ExternalData_42</vt:lpstr>
      <vt:lpstr>Version!ExternalData_43</vt:lpstr>
      <vt:lpstr>Version!ExternalData_44</vt:lpstr>
      <vt:lpstr>Version!ExternalData_45</vt:lpstr>
      <vt:lpstr>Version!ExternalData_5</vt:lpstr>
      <vt:lpstr>Version!ExternalData_7</vt:lpstr>
      <vt:lpstr>Version!ExternalData_8</vt:lpstr>
      <vt:lpstr>Version!ExternalData_9</vt:lpstr>
      <vt:lpstr>'Congratulations!'!Print_Area</vt:lpstr>
    </vt:vector>
  </TitlesOfParts>
  <Company>The Taubman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STC</dc:creator>
  <cp:lastModifiedBy>Alissa Whitlock</cp:lastModifiedBy>
  <cp:lastPrinted>2016-05-15T17:23:59Z</cp:lastPrinted>
  <dcterms:created xsi:type="dcterms:W3CDTF">2016-05-10T16:27:15Z</dcterms:created>
  <dcterms:modified xsi:type="dcterms:W3CDTF">2023-03-25T02:13:47Z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SV_HIDDEN_GRID_QUERY_LIST_4F35BF76-6C0D-4D9B-82B2-816C12CF3733">
    <vt:lpwstr>empty_477D106A-C0D6-4607-AEBD-E2C9D60EA279</vt:lpwstr>
  </property>
</Properties>
</file>